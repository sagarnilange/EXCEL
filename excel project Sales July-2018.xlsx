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Sagar Nilange\Desktop\Excel Project\"/>
    </mc:Choice>
  </mc:AlternateContent>
  <xr:revisionPtr revIDLastSave="0" documentId="13_ncr:1_{B9A185C3-081F-4C8A-95C3-EB58847625FD}" xr6:coauthVersionLast="47" xr6:coauthVersionMax="47" xr10:uidLastSave="{00000000-0000-0000-0000-000000000000}"/>
  <bookViews>
    <workbookView xWindow="-110" yWindow="-110" windowWidth="19420" windowHeight="10300" activeTab="3" xr2:uid="{469E40CA-492C-49CD-85BF-51C6DDA2CD3B}"/>
  </bookViews>
  <sheets>
    <sheet name="Excel Project 1" sheetId="2" r:id="rId1"/>
    <sheet name="KPI" sheetId="5" r:id="rId2"/>
    <sheet name="charts" sheetId="6" r:id="rId3"/>
    <sheet name="dashboard" sheetId="8" r:id="rId4"/>
  </sheets>
  <definedNames>
    <definedName name="_xlchart.v5.0" hidden="1">charts!$D$44</definedName>
    <definedName name="_xlchart.v5.1" hidden="1">charts!$D$45:$D$56</definedName>
    <definedName name="_xlchart.v5.2" hidden="1">charts!$E$45:$E$56</definedName>
    <definedName name="_xlchart.v5.3" hidden="1">charts!$D$44</definedName>
    <definedName name="_xlchart.v5.4" hidden="1">charts!$D$45:$D$56</definedName>
    <definedName name="_xlchart.v5.5" hidden="1">charts!$E$45:$E$56</definedName>
    <definedName name="ExternalData_1" localSheetId="0" hidden="1">'Excel Project 1'!$A$1:$J$1301</definedName>
    <definedName name="Slicer_Item">#N/A</definedName>
    <definedName name="Slicer_Sales_Rep">#N/A</definedName>
    <definedName name="Slicer_St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5" i="6" l="1"/>
  <c r="E45" i="6"/>
  <c r="D46" i="6"/>
  <c r="E46" i="6"/>
  <c r="D47" i="6"/>
  <c r="E47" i="6"/>
  <c r="D48" i="6"/>
  <c r="E48" i="6"/>
  <c r="D49" i="6"/>
  <c r="E49" i="6"/>
  <c r="D50" i="6"/>
  <c r="E50" i="6"/>
  <c r="D51" i="6"/>
  <c r="E51" i="6"/>
  <c r="D52" i="6"/>
  <c r="E52" i="6"/>
  <c r="D53" i="6"/>
  <c r="E53" i="6"/>
  <c r="D54" i="6"/>
  <c r="E54" i="6"/>
  <c r="D55" i="6"/>
  <c r="E55" i="6"/>
  <c r="D56" i="6"/>
  <c r="E56" i="6"/>
  <c r="B19"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5BD5BC-0B1D-411C-8776-386B0BE16F7A}" keepAlive="1" name="Query - raw data one month sales Report" description="Connection to the 'raw data one month sales Report' query in the workbook." type="5" refreshedVersion="8" background="1" saveData="1">
    <dbPr connection="Provider=Microsoft.Mashup.OleDb.1;Data Source=$Workbook$;Location=&quot;raw data one month sales Report&quot;;Extended Properties=&quot;&quot;" command="SELECT * FROM [raw data one month sales Report]"/>
  </connection>
  <connection id="2" xr16:uid="{2C39ABA8-3F4A-4FB6-96C7-F28DDA8EFA84}" keepAlive="1" name="Query - raw data one month sales Report (2)" description="Connection to the 'raw data one month sales Report (2)' query in the workbook." type="5" refreshedVersion="8" background="1" saveData="1">
    <dbPr connection="Provider=Microsoft.Mashup.OleDb.1;Data Source=$Workbook$;Location=&quot;raw data one month sales Report (2)&quot;;Extended Properties=&quot;&quot;" command="SELECT * FROM [raw data one month sales Report (2)]"/>
  </connection>
</connections>
</file>

<file path=xl/sharedStrings.xml><?xml version="1.0" encoding="utf-8"?>
<sst xmlns="http://schemas.openxmlformats.org/spreadsheetml/2006/main" count="5290" uniqueCount="1350">
  <si>
    <t>order_id</t>
  </si>
  <si>
    <t>Date</t>
  </si>
  <si>
    <t>Item</t>
  </si>
  <si>
    <t>Sales Rep</t>
  </si>
  <si>
    <t>Quantity</t>
  </si>
  <si>
    <t>Price</t>
  </si>
  <si>
    <t>total sales</t>
  </si>
  <si>
    <t>Commission</t>
  </si>
  <si>
    <t>total commission</t>
  </si>
  <si>
    <t>State</t>
  </si>
  <si>
    <t>order_id = 1</t>
  </si>
  <si>
    <t>Printer</t>
  </si>
  <si>
    <t>John</t>
  </si>
  <si>
    <t>Meghalaya</t>
  </si>
  <si>
    <t>order_id = 2</t>
  </si>
  <si>
    <t>White Board</t>
  </si>
  <si>
    <t>Mark</t>
  </si>
  <si>
    <t>Uttar Pradesh</t>
  </si>
  <si>
    <t>order_id = 3</t>
  </si>
  <si>
    <t>Office Chair</t>
  </si>
  <si>
    <t>Maharashtra</t>
  </si>
  <si>
    <t>order_id = 4</t>
  </si>
  <si>
    <t>Delhi</t>
  </si>
  <si>
    <t>order_id = 5</t>
  </si>
  <si>
    <t>Laura</t>
  </si>
  <si>
    <t>West Bengal</t>
  </si>
  <si>
    <t>order_id = 6</t>
  </si>
  <si>
    <t>Stacey</t>
  </si>
  <si>
    <t>Bihar</t>
  </si>
  <si>
    <t>order_id = 7</t>
  </si>
  <si>
    <t>Diary</t>
  </si>
  <si>
    <t>Bob</t>
  </si>
  <si>
    <t>Goa</t>
  </si>
  <si>
    <t>order_id = 8</t>
  </si>
  <si>
    <t>Projector</t>
  </si>
  <si>
    <t>Karnataka</t>
  </si>
  <si>
    <t>order_id = 9</t>
  </si>
  <si>
    <t>Gujarat</t>
  </si>
  <si>
    <t>order_id = 10</t>
  </si>
  <si>
    <t>Jharkhand</t>
  </si>
  <si>
    <t>order_id = 11</t>
  </si>
  <si>
    <t>Haryana</t>
  </si>
  <si>
    <t>order_id = 12</t>
  </si>
  <si>
    <t>Kerala</t>
  </si>
  <si>
    <t>order_id = 13</t>
  </si>
  <si>
    <t>order_id = 14</t>
  </si>
  <si>
    <t>order_id = 15</t>
  </si>
  <si>
    <t>order_id = 16</t>
  </si>
  <si>
    <t>order_id = 17</t>
  </si>
  <si>
    <t>order_id = 18</t>
  </si>
  <si>
    <t>order_id = 19</t>
  </si>
  <si>
    <t>order_id = 20</t>
  </si>
  <si>
    <t>order_id = 21</t>
  </si>
  <si>
    <t>order_id = 22</t>
  </si>
  <si>
    <t>order_id = 23</t>
  </si>
  <si>
    <t>order_id = 24</t>
  </si>
  <si>
    <t>order_id = 25</t>
  </si>
  <si>
    <t>order_id = 26</t>
  </si>
  <si>
    <t>order_id = 27</t>
  </si>
  <si>
    <t>order_id = 28</t>
  </si>
  <si>
    <t>order_id = 29</t>
  </si>
  <si>
    <t>order_id = 30</t>
  </si>
  <si>
    <t>order_id = 31</t>
  </si>
  <si>
    <t>order_id = 32</t>
  </si>
  <si>
    <t>order_id = 33</t>
  </si>
  <si>
    <t>order_id = 34</t>
  </si>
  <si>
    <t>order_id = 35</t>
  </si>
  <si>
    <t>order_id = 36</t>
  </si>
  <si>
    <t>order_id = 37</t>
  </si>
  <si>
    <t>order_id = 38</t>
  </si>
  <si>
    <t>order_id = 39</t>
  </si>
  <si>
    <t>order_id = 40</t>
  </si>
  <si>
    <t>order_id = 41</t>
  </si>
  <si>
    <t>order_id = 42</t>
  </si>
  <si>
    <t>order_id = 43</t>
  </si>
  <si>
    <t>order_id = 44</t>
  </si>
  <si>
    <t>order_id = 45</t>
  </si>
  <si>
    <t>order_id = 46</t>
  </si>
  <si>
    <t>order_id = 47</t>
  </si>
  <si>
    <t>order_id = 48</t>
  </si>
  <si>
    <t>order_id = 49</t>
  </si>
  <si>
    <t>order_id = 50</t>
  </si>
  <si>
    <t>order_id = 51</t>
  </si>
  <si>
    <t>order_id = 52</t>
  </si>
  <si>
    <t>order_id = 53</t>
  </si>
  <si>
    <t>order_id = 54</t>
  </si>
  <si>
    <t>order_id = 55</t>
  </si>
  <si>
    <t>order_id = 56</t>
  </si>
  <si>
    <t>order_id = 57</t>
  </si>
  <si>
    <t>order_id = 58</t>
  </si>
  <si>
    <t>order_id = 59</t>
  </si>
  <si>
    <t>order_id = 60</t>
  </si>
  <si>
    <t>order_id = 61</t>
  </si>
  <si>
    <t>order_id = 62</t>
  </si>
  <si>
    <t>order_id = 63</t>
  </si>
  <si>
    <t>order_id = 64</t>
  </si>
  <si>
    <t>order_id = 65</t>
  </si>
  <si>
    <t>order_id = 66</t>
  </si>
  <si>
    <t>order_id = 67</t>
  </si>
  <si>
    <t>order_id = 68</t>
  </si>
  <si>
    <t>order_id = 69</t>
  </si>
  <si>
    <t>order_id = 70</t>
  </si>
  <si>
    <t>order_id = 71</t>
  </si>
  <si>
    <t>order_id = 72</t>
  </si>
  <si>
    <t>order_id = 73</t>
  </si>
  <si>
    <t>order_id = 74</t>
  </si>
  <si>
    <t>order_id = 75</t>
  </si>
  <si>
    <t>order_id = 76</t>
  </si>
  <si>
    <t>order_id = 77</t>
  </si>
  <si>
    <t>order_id = 78</t>
  </si>
  <si>
    <t>order_id = 79</t>
  </si>
  <si>
    <t>order_id = 80</t>
  </si>
  <si>
    <t>order_id = 81</t>
  </si>
  <si>
    <t>order_id = 82</t>
  </si>
  <si>
    <t>order_id = 83</t>
  </si>
  <si>
    <t>order_id = 84</t>
  </si>
  <si>
    <t>order_id = 85</t>
  </si>
  <si>
    <t>order_id = 86</t>
  </si>
  <si>
    <t>order_id = 87</t>
  </si>
  <si>
    <t>order_id = 88</t>
  </si>
  <si>
    <t>order_id = 89</t>
  </si>
  <si>
    <t>order_id = 90</t>
  </si>
  <si>
    <t>order_id = 91</t>
  </si>
  <si>
    <t>order_id = 92</t>
  </si>
  <si>
    <t>order_id = 93</t>
  </si>
  <si>
    <t>order_id = 94</t>
  </si>
  <si>
    <t>order_id = 95</t>
  </si>
  <si>
    <t>order_id = 96</t>
  </si>
  <si>
    <t>order_id = 97</t>
  </si>
  <si>
    <t>order_id = 98</t>
  </si>
  <si>
    <t>order_id = 99</t>
  </si>
  <si>
    <t>order_id = 100</t>
  </si>
  <si>
    <t>order_id = 101</t>
  </si>
  <si>
    <t>order_id = 102</t>
  </si>
  <si>
    <t>order_id = 103</t>
  </si>
  <si>
    <t>order_id = 104</t>
  </si>
  <si>
    <t>order_id = 105</t>
  </si>
  <si>
    <t>order_id = 106</t>
  </si>
  <si>
    <t>order_id = 107</t>
  </si>
  <si>
    <t>order_id = 108</t>
  </si>
  <si>
    <t>order_id = 109</t>
  </si>
  <si>
    <t>order_id = 110</t>
  </si>
  <si>
    <t>order_id = 111</t>
  </si>
  <si>
    <t>order_id = 112</t>
  </si>
  <si>
    <t>order_id = 113</t>
  </si>
  <si>
    <t>order_id = 114</t>
  </si>
  <si>
    <t>order_id = 115</t>
  </si>
  <si>
    <t>order_id = 116</t>
  </si>
  <si>
    <t>order_id = 117</t>
  </si>
  <si>
    <t>order_id = 118</t>
  </si>
  <si>
    <t>order_id = 119</t>
  </si>
  <si>
    <t>order_id = 120</t>
  </si>
  <si>
    <t>order_id = 121</t>
  </si>
  <si>
    <t>order_id = 122</t>
  </si>
  <si>
    <t>order_id = 123</t>
  </si>
  <si>
    <t>order_id = 124</t>
  </si>
  <si>
    <t>order_id = 125</t>
  </si>
  <si>
    <t>order_id = 126</t>
  </si>
  <si>
    <t>order_id = 127</t>
  </si>
  <si>
    <t>order_id = 128</t>
  </si>
  <si>
    <t>order_id = 129</t>
  </si>
  <si>
    <t>order_id = 130</t>
  </si>
  <si>
    <t>order_id = 131</t>
  </si>
  <si>
    <t>order_id = 132</t>
  </si>
  <si>
    <t>order_id = 133</t>
  </si>
  <si>
    <t>order_id = 134</t>
  </si>
  <si>
    <t>order_id = 135</t>
  </si>
  <si>
    <t>order_id = 136</t>
  </si>
  <si>
    <t>order_id = 137</t>
  </si>
  <si>
    <t>order_id = 138</t>
  </si>
  <si>
    <t>order_id = 139</t>
  </si>
  <si>
    <t>order_id = 140</t>
  </si>
  <si>
    <t>order_id = 141</t>
  </si>
  <si>
    <t>order_id = 142</t>
  </si>
  <si>
    <t>order_id = 143</t>
  </si>
  <si>
    <t>order_id = 144</t>
  </si>
  <si>
    <t>order_id = 145</t>
  </si>
  <si>
    <t>order_id = 146</t>
  </si>
  <si>
    <t>order_id = 147</t>
  </si>
  <si>
    <t>order_id = 148</t>
  </si>
  <si>
    <t>order_id = 149</t>
  </si>
  <si>
    <t>order_id = 150</t>
  </si>
  <si>
    <t>order_id = 151</t>
  </si>
  <si>
    <t>order_id = 152</t>
  </si>
  <si>
    <t>order_id = 153</t>
  </si>
  <si>
    <t>order_id = 154</t>
  </si>
  <si>
    <t>order_id = 155</t>
  </si>
  <si>
    <t>order_id = 156</t>
  </si>
  <si>
    <t>order_id = 157</t>
  </si>
  <si>
    <t>order_id = 158</t>
  </si>
  <si>
    <t>order_id = 159</t>
  </si>
  <si>
    <t>order_id = 160</t>
  </si>
  <si>
    <t>order_id = 161</t>
  </si>
  <si>
    <t>order_id = 162</t>
  </si>
  <si>
    <t>order_id = 163</t>
  </si>
  <si>
    <t>order_id = 164</t>
  </si>
  <si>
    <t>order_id = 165</t>
  </si>
  <si>
    <t>order_id = 166</t>
  </si>
  <si>
    <t>order_id = 167</t>
  </si>
  <si>
    <t>order_id = 168</t>
  </si>
  <si>
    <t>order_id = 169</t>
  </si>
  <si>
    <t>order_id = 170</t>
  </si>
  <si>
    <t>order_id = 171</t>
  </si>
  <si>
    <t>order_id = 172</t>
  </si>
  <si>
    <t>order_id = 173</t>
  </si>
  <si>
    <t>order_id = 174</t>
  </si>
  <si>
    <t>order_id = 175</t>
  </si>
  <si>
    <t>order_id = 176</t>
  </si>
  <si>
    <t>order_id = 177</t>
  </si>
  <si>
    <t>order_id = 178</t>
  </si>
  <si>
    <t>order_id = 179</t>
  </si>
  <si>
    <t>order_id = 180</t>
  </si>
  <si>
    <t>order_id = 181</t>
  </si>
  <si>
    <t>order_id = 182</t>
  </si>
  <si>
    <t>order_id = 183</t>
  </si>
  <si>
    <t>order_id = 184</t>
  </si>
  <si>
    <t>order_id = 185</t>
  </si>
  <si>
    <t>order_id = 186</t>
  </si>
  <si>
    <t>order_id = 187</t>
  </si>
  <si>
    <t>order_id = 188</t>
  </si>
  <si>
    <t>order_id = 189</t>
  </si>
  <si>
    <t>order_id = 190</t>
  </si>
  <si>
    <t>order_id = 191</t>
  </si>
  <si>
    <t>order_id = 192</t>
  </si>
  <si>
    <t>order_id = 193</t>
  </si>
  <si>
    <t>order_id = 194</t>
  </si>
  <si>
    <t>order_id = 195</t>
  </si>
  <si>
    <t>order_id = 196</t>
  </si>
  <si>
    <t>order_id = 197</t>
  </si>
  <si>
    <t>order_id = 198</t>
  </si>
  <si>
    <t>order_id = 199</t>
  </si>
  <si>
    <t>order_id = 200</t>
  </si>
  <si>
    <t>order_id = 201</t>
  </si>
  <si>
    <t>order_id = 202</t>
  </si>
  <si>
    <t>order_id = 203</t>
  </si>
  <si>
    <t>order_id = 204</t>
  </si>
  <si>
    <t>order_id = 205</t>
  </si>
  <si>
    <t>order_id = 206</t>
  </si>
  <si>
    <t>order_id = 207</t>
  </si>
  <si>
    <t>order_id = 208</t>
  </si>
  <si>
    <t>order_id = 209</t>
  </si>
  <si>
    <t>order_id = 210</t>
  </si>
  <si>
    <t>order_id = 211</t>
  </si>
  <si>
    <t>order_id = 212</t>
  </si>
  <si>
    <t>order_id = 213</t>
  </si>
  <si>
    <t>order_id = 214</t>
  </si>
  <si>
    <t>order_id = 215</t>
  </si>
  <si>
    <t>order_id = 216</t>
  </si>
  <si>
    <t>order_id = 217</t>
  </si>
  <si>
    <t>order_id = 218</t>
  </si>
  <si>
    <t>order_id = 219</t>
  </si>
  <si>
    <t>order_id = 220</t>
  </si>
  <si>
    <t>order_id = 221</t>
  </si>
  <si>
    <t>order_id = 222</t>
  </si>
  <si>
    <t>order_id = 223</t>
  </si>
  <si>
    <t>order_id = 224</t>
  </si>
  <si>
    <t>order_id = 225</t>
  </si>
  <si>
    <t>order_id = 226</t>
  </si>
  <si>
    <t>order_id = 227</t>
  </si>
  <si>
    <t>order_id = 228</t>
  </si>
  <si>
    <t>order_id = 229</t>
  </si>
  <si>
    <t>order_id = 230</t>
  </si>
  <si>
    <t>order_id = 231</t>
  </si>
  <si>
    <t>order_id = 232</t>
  </si>
  <si>
    <t>order_id = 233</t>
  </si>
  <si>
    <t>order_id = 234</t>
  </si>
  <si>
    <t>order_id = 235</t>
  </si>
  <si>
    <t>order_id = 236</t>
  </si>
  <si>
    <t>order_id = 237</t>
  </si>
  <si>
    <t>order_id = 238</t>
  </si>
  <si>
    <t>order_id = 239</t>
  </si>
  <si>
    <t>order_id = 240</t>
  </si>
  <si>
    <t>order_id = 241</t>
  </si>
  <si>
    <t>order_id = 242</t>
  </si>
  <si>
    <t>order_id = 243</t>
  </si>
  <si>
    <t>order_id = 244</t>
  </si>
  <si>
    <t>order_id = 245</t>
  </si>
  <si>
    <t>order_id = 246</t>
  </si>
  <si>
    <t>order_id = 247</t>
  </si>
  <si>
    <t>order_id = 248</t>
  </si>
  <si>
    <t>order_id = 249</t>
  </si>
  <si>
    <t>order_id = 250</t>
  </si>
  <si>
    <t>order_id = 251</t>
  </si>
  <si>
    <t>order_id = 252</t>
  </si>
  <si>
    <t>order_id = 253</t>
  </si>
  <si>
    <t>order_id = 254</t>
  </si>
  <si>
    <t>order_id = 255</t>
  </si>
  <si>
    <t>order_id = 256</t>
  </si>
  <si>
    <t>order_id = 257</t>
  </si>
  <si>
    <t>order_id = 258</t>
  </si>
  <si>
    <t>order_id = 259</t>
  </si>
  <si>
    <t>order_id = 260</t>
  </si>
  <si>
    <t>order_id = 261</t>
  </si>
  <si>
    <t>order_id = 262</t>
  </si>
  <si>
    <t>order_id = 263</t>
  </si>
  <si>
    <t>order_id = 264</t>
  </si>
  <si>
    <t>order_id = 265</t>
  </si>
  <si>
    <t>order_id = 266</t>
  </si>
  <si>
    <t>order_id = 267</t>
  </si>
  <si>
    <t>order_id = 268</t>
  </si>
  <si>
    <t>order_id = 269</t>
  </si>
  <si>
    <t>order_id = 270</t>
  </si>
  <si>
    <t>order_id = 271</t>
  </si>
  <si>
    <t>order_id = 272</t>
  </si>
  <si>
    <t>order_id = 273</t>
  </si>
  <si>
    <t>order_id = 274</t>
  </si>
  <si>
    <t>order_id = 275</t>
  </si>
  <si>
    <t>order_id = 276</t>
  </si>
  <si>
    <t>order_id = 277</t>
  </si>
  <si>
    <t>order_id = 278</t>
  </si>
  <si>
    <t>order_id = 279</t>
  </si>
  <si>
    <t>order_id = 280</t>
  </si>
  <si>
    <t>order_id = 281</t>
  </si>
  <si>
    <t>order_id = 282</t>
  </si>
  <si>
    <t>order_id = 283</t>
  </si>
  <si>
    <t>order_id = 284</t>
  </si>
  <si>
    <t>order_id = 285</t>
  </si>
  <si>
    <t>order_id = 286</t>
  </si>
  <si>
    <t>order_id = 287</t>
  </si>
  <si>
    <t>order_id = 288</t>
  </si>
  <si>
    <t>order_id = 289</t>
  </si>
  <si>
    <t>order_id = 290</t>
  </si>
  <si>
    <t>order_id = 291</t>
  </si>
  <si>
    <t>order_id = 292</t>
  </si>
  <si>
    <t>order_id = 293</t>
  </si>
  <si>
    <t>order_id = 294</t>
  </si>
  <si>
    <t>order_id = 295</t>
  </si>
  <si>
    <t>order_id = 296</t>
  </si>
  <si>
    <t>order_id = 297</t>
  </si>
  <si>
    <t>order_id = 298</t>
  </si>
  <si>
    <t>order_id = 299</t>
  </si>
  <si>
    <t>order_id = 300</t>
  </si>
  <si>
    <t>order_id = 301</t>
  </si>
  <si>
    <t>order_id = 302</t>
  </si>
  <si>
    <t>order_id = 303</t>
  </si>
  <si>
    <t>order_id = 304</t>
  </si>
  <si>
    <t>order_id = 305</t>
  </si>
  <si>
    <t>order_id = 306</t>
  </si>
  <si>
    <t>order_id = 307</t>
  </si>
  <si>
    <t>order_id = 308</t>
  </si>
  <si>
    <t>order_id = 309</t>
  </si>
  <si>
    <t>order_id = 310</t>
  </si>
  <si>
    <t>order_id = 311</t>
  </si>
  <si>
    <t>order_id = 312</t>
  </si>
  <si>
    <t>order_id = 313</t>
  </si>
  <si>
    <t>order_id = 314</t>
  </si>
  <si>
    <t>order_id = 315</t>
  </si>
  <si>
    <t>order_id = 316</t>
  </si>
  <si>
    <t>order_id = 317</t>
  </si>
  <si>
    <t>order_id = 318</t>
  </si>
  <si>
    <t>order_id = 319</t>
  </si>
  <si>
    <t>order_id = 320</t>
  </si>
  <si>
    <t>order_id = 321</t>
  </si>
  <si>
    <t>order_id = 322</t>
  </si>
  <si>
    <t>order_id = 323</t>
  </si>
  <si>
    <t>order_id = 324</t>
  </si>
  <si>
    <t>order_id = 325</t>
  </si>
  <si>
    <t>order_id = 326</t>
  </si>
  <si>
    <t>order_id = 327</t>
  </si>
  <si>
    <t>order_id = 328</t>
  </si>
  <si>
    <t>order_id = 329</t>
  </si>
  <si>
    <t>order_id = 330</t>
  </si>
  <si>
    <t>order_id = 331</t>
  </si>
  <si>
    <t>order_id = 332</t>
  </si>
  <si>
    <t>order_id = 333</t>
  </si>
  <si>
    <t>order_id = 334</t>
  </si>
  <si>
    <t>order_id = 335</t>
  </si>
  <si>
    <t>order_id = 336</t>
  </si>
  <si>
    <t>order_id = 337</t>
  </si>
  <si>
    <t>order_id = 338</t>
  </si>
  <si>
    <t>order_id = 339</t>
  </si>
  <si>
    <t>order_id = 340</t>
  </si>
  <si>
    <t>order_id = 341</t>
  </si>
  <si>
    <t>order_id = 342</t>
  </si>
  <si>
    <t>order_id = 343</t>
  </si>
  <si>
    <t>order_id = 344</t>
  </si>
  <si>
    <t>order_id = 345</t>
  </si>
  <si>
    <t>order_id = 346</t>
  </si>
  <si>
    <t>order_id = 347</t>
  </si>
  <si>
    <t>order_id = 348</t>
  </si>
  <si>
    <t>order_id = 349</t>
  </si>
  <si>
    <t>order_id = 350</t>
  </si>
  <si>
    <t>order_id = 351</t>
  </si>
  <si>
    <t>order_id = 352</t>
  </si>
  <si>
    <t>order_id = 353</t>
  </si>
  <si>
    <t>order_id = 354</t>
  </si>
  <si>
    <t>order_id = 355</t>
  </si>
  <si>
    <t>order_id = 356</t>
  </si>
  <si>
    <t>order_id = 357</t>
  </si>
  <si>
    <t>order_id = 358</t>
  </si>
  <si>
    <t>order_id = 359</t>
  </si>
  <si>
    <t>order_id = 360</t>
  </si>
  <si>
    <t>order_id = 361</t>
  </si>
  <si>
    <t>order_id = 362</t>
  </si>
  <si>
    <t>order_id = 363</t>
  </si>
  <si>
    <t>order_id = 364</t>
  </si>
  <si>
    <t>order_id = 365</t>
  </si>
  <si>
    <t>order_id = 366</t>
  </si>
  <si>
    <t>order_id = 367</t>
  </si>
  <si>
    <t>order_id = 368</t>
  </si>
  <si>
    <t>order_id = 369</t>
  </si>
  <si>
    <t>order_id = 370</t>
  </si>
  <si>
    <t>order_id = 371</t>
  </si>
  <si>
    <t>order_id = 372</t>
  </si>
  <si>
    <t>order_id = 373</t>
  </si>
  <si>
    <t>order_id = 374</t>
  </si>
  <si>
    <t>order_id = 375</t>
  </si>
  <si>
    <t>order_id = 376</t>
  </si>
  <si>
    <t>order_id = 377</t>
  </si>
  <si>
    <t>order_id = 378</t>
  </si>
  <si>
    <t>order_id = 379</t>
  </si>
  <si>
    <t>order_id = 380</t>
  </si>
  <si>
    <t>order_id = 381</t>
  </si>
  <si>
    <t>order_id = 382</t>
  </si>
  <si>
    <t>order_id = 383</t>
  </si>
  <si>
    <t>order_id = 384</t>
  </si>
  <si>
    <t>order_id = 385</t>
  </si>
  <si>
    <t>order_id = 386</t>
  </si>
  <si>
    <t>order_id = 387</t>
  </si>
  <si>
    <t>order_id = 388</t>
  </si>
  <si>
    <t>order_id = 389</t>
  </si>
  <si>
    <t>order_id = 390</t>
  </si>
  <si>
    <t>order_id = 391</t>
  </si>
  <si>
    <t>order_id = 392</t>
  </si>
  <si>
    <t>order_id = 393</t>
  </si>
  <si>
    <t>order_id = 394</t>
  </si>
  <si>
    <t>order_id = 395</t>
  </si>
  <si>
    <t>order_id = 396</t>
  </si>
  <si>
    <t>order_id = 397</t>
  </si>
  <si>
    <t>order_id = 398</t>
  </si>
  <si>
    <t>order_id = 399</t>
  </si>
  <si>
    <t>order_id = 400</t>
  </si>
  <si>
    <t>order_id = 401</t>
  </si>
  <si>
    <t>order_id = 402</t>
  </si>
  <si>
    <t>order_id = 403</t>
  </si>
  <si>
    <t>order_id = 404</t>
  </si>
  <si>
    <t>order_id = 405</t>
  </si>
  <si>
    <t>order_id = 406</t>
  </si>
  <si>
    <t>order_id = 407</t>
  </si>
  <si>
    <t>order_id = 408</t>
  </si>
  <si>
    <t>order_id = 409</t>
  </si>
  <si>
    <t>order_id = 410</t>
  </si>
  <si>
    <t>order_id = 411</t>
  </si>
  <si>
    <t>order_id = 412</t>
  </si>
  <si>
    <t>order_id = 413</t>
  </si>
  <si>
    <t>order_id = 414</t>
  </si>
  <si>
    <t>order_id = 415</t>
  </si>
  <si>
    <t>order_id = 416</t>
  </si>
  <si>
    <t>order_id = 417</t>
  </si>
  <si>
    <t>order_id = 418</t>
  </si>
  <si>
    <t>order_id = 419</t>
  </si>
  <si>
    <t>order_id = 420</t>
  </si>
  <si>
    <t>order_id = 421</t>
  </si>
  <si>
    <t>order_id = 422</t>
  </si>
  <si>
    <t>order_id = 423</t>
  </si>
  <si>
    <t>order_id = 424</t>
  </si>
  <si>
    <t>order_id = 425</t>
  </si>
  <si>
    <t>order_id = 426</t>
  </si>
  <si>
    <t>order_id = 427</t>
  </si>
  <si>
    <t>order_id = 428</t>
  </si>
  <si>
    <t>order_id = 429</t>
  </si>
  <si>
    <t>order_id = 430</t>
  </si>
  <si>
    <t>order_id = 431</t>
  </si>
  <si>
    <t>order_id = 432</t>
  </si>
  <si>
    <t>order_id = 433</t>
  </si>
  <si>
    <t>order_id = 434</t>
  </si>
  <si>
    <t>order_id = 435</t>
  </si>
  <si>
    <t>order_id = 436</t>
  </si>
  <si>
    <t>order_id = 437</t>
  </si>
  <si>
    <t>order_id = 438</t>
  </si>
  <si>
    <t>order_id = 439</t>
  </si>
  <si>
    <t>order_id = 440</t>
  </si>
  <si>
    <t>order_id = 441</t>
  </si>
  <si>
    <t>order_id = 442</t>
  </si>
  <si>
    <t>order_id = 443</t>
  </si>
  <si>
    <t>order_id = 444</t>
  </si>
  <si>
    <t>order_id = 445</t>
  </si>
  <si>
    <t>order_id = 446</t>
  </si>
  <si>
    <t>order_id = 447</t>
  </si>
  <si>
    <t>order_id = 448</t>
  </si>
  <si>
    <t>order_id = 449</t>
  </si>
  <si>
    <t>order_id = 450</t>
  </si>
  <si>
    <t>order_id = 451</t>
  </si>
  <si>
    <t>order_id = 452</t>
  </si>
  <si>
    <t>order_id = 453</t>
  </si>
  <si>
    <t>order_id = 454</t>
  </si>
  <si>
    <t>order_id = 455</t>
  </si>
  <si>
    <t>order_id = 456</t>
  </si>
  <si>
    <t>order_id = 457</t>
  </si>
  <si>
    <t>order_id = 458</t>
  </si>
  <si>
    <t>order_id = 459</t>
  </si>
  <si>
    <t>order_id = 460</t>
  </si>
  <si>
    <t>order_id = 461</t>
  </si>
  <si>
    <t>order_id = 462</t>
  </si>
  <si>
    <t>order_id = 463</t>
  </si>
  <si>
    <t>order_id = 464</t>
  </si>
  <si>
    <t>order_id = 465</t>
  </si>
  <si>
    <t>order_id = 466</t>
  </si>
  <si>
    <t>order_id = 467</t>
  </si>
  <si>
    <t>order_id = 468</t>
  </si>
  <si>
    <t>order_id = 469</t>
  </si>
  <si>
    <t>order_id = 470</t>
  </si>
  <si>
    <t>order_id = 471</t>
  </si>
  <si>
    <t>order_id = 472</t>
  </si>
  <si>
    <t>order_id = 473</t>
  </si>
  <si>
    <t>order_id = 474</t>
  </si>
  <si>
    <t>order_id = 475</t>
  </si>
  <si>
    <t>order_id = 476</t>
  </si>
  <si>
    <t>order_id = 477</t>
  </si>
  <si>
    <t>order_id = 478</t>
  </si>
  <si>
    <t>order_id = 479</t>
  </si>
  <si>
    <t>order_id = 480</t>
  </si>
  <si>
    <t>order_id = 481</t>
  </si>
  <si>
    <t>order_id = 482</t>
  </si>
  <si>
    <t>order_id = 483</t>
  </si>
  <si>
    <t>order_id = 484</t>
  </si>
  <si>
    <t>order_id = 485</t>
  </si>
  <si>
    <t>order_id = 486</t>
  </si>
  <si>
    <t>order_id = 487</t>
  </si>
  <si>
    <t>order_id = 488</t>
  </si>
  <si>
    <t>order_id = 489</t>
  </si>
  <si>
    <t>order_id = 490</t>
  </si>
  <si>
    <t>order_id = 491</t>
  </si>
  <si>
    <t>order_id = 492</t>
  </si>
  <si>
    <t>order_id = 493</t>
  </si>
  <si>
    <t>order_id = 494</t>
  </si>
  <si>
    <t>order_id = 495</t>
  </si>
  <si>
    <t>order_id = 496</t>
  </si>
  <si>
    <t>order_id = 497</t>
  </si>
  <si>
    <t>order_id = 498</t>
  </si>
  <si>
    <t>order_id = 499</t>
  </si>
  <si>
    <t>order_id = 500</t>
  </si>
  <si>
    <t>order_id = 501</t>
  </si>
  <si>
    <t>order_id = 502</t>
  </si>
  <si>
    <t>order_id = 503</t>
  </si>
  <si>
    <t>order_id = 504</t>
  </si>
  <si>
    <t>order_id = 505</t>
  </si>
  <si>
    <t>order_id = 506</t>
  </si>
  <si>
    <t>order_id = 507</t>
  </si>
  <si>
    <t>order_id = 508</t>
  </si>
  <si>
    <t>order_id = 509</t>
  </si>
  <si>
    <t>order_id = 510</t>
  </si>
  <si>
    <t>order_id = 511</t>
  </si>
  <si>
    <t>order_id = 512</t>
  </si>
  <si>
    <t>order_id = 513</t>
  </si>
  <si>
    <t>order_id = 514</t>
  </si>
  <si>
    <t>order_id = 515</t>
  </si>
  <si>
    <t>order_id = 516</t>
  </si>
  <si>
    <t>order_id = 517</t>
  </si>
  <si>
    <t>order_id = 518</t>
  </si>
  <si>
    <t>order_id = 519</t>
  </si>
  <si>
    <t>order_id = 520</t>
  </si>
  <si>
    <t>order_id = 521</t>
  </si>
  <si>
    <t>order_id = 522</t>
  </si>
  <si>
    <t>order_id = 523</t>
  </si>
  <si>
    <t>order_id = 524</t>
  </si>
  <si>
    <t>order_id = 525</t>
  </si>
  <si>
    <t>order_id = 526</t>
  </si>
  <si>
    <t>order_id = 527</t>
  </si>
  <si>
    <t>order_id = 528</t>
  </si>
  <si>
    <t>order_id = 529</t>
  </si>
  <si>
    <t>order_id = 530</t>
  </si>
  <si>
    <t>order_id = 531</t>
  </si>
  <si>
    <t>order_id = 532</t>
  </si>
  <si>
    <t>order_id = 533</t>
  </si>
  <si>
    <t>order_id = 534</t>
  </si>
  <si>
    <t>order_id = 535</t>
  </si>
  <si>
    <t>order_id = 536</t>
  </si>
  <si>
    <t>order_id = 537</t>
  </si>
  <si>
    <t>order_id = 538</t>
  </si>
  <si>
    <t>order_id = 539</t>
  </si>
  <si>
    <t>order_id = 540</t>
  </si>
  <si>
    <t>order_id = 541</t>
  </si>
  <si>
    <t>order_id = 542</t>
  </si>
  <si>
    <t>order_id = 543</t>
  </si>
  <si>
    <t>order_id = 544</t>
  </si>
  <si>
    <t>order_id = 545</t>
  </si>
  <si>
    <t>order_id = 546</t>
  </si>
  <si>
    <t>order_id = 547</t>
  </si>
  <si>
    <t>order_id = 548</t>
  </si>
  <si>
    <t>order_id = 549</t>
  </si>
  <si>
    <t>order_id = 550</t>
  </si>
  <si>
    <t>order_id = 551</t>
  </si>
  <si>
    <t>order_id = 552</t>
  </si>
  <si>
    <t>order_id = 553</t>
  </si>
  <si>
    <t>order_id = 554</t>
  </si>
  <si>
    <t>order_id = 555</t>
  </si>
  <si>
    <t>order_id = 556</t>
  </si>
  <si>
    <t>order_id = 557</t>
  </si>
  <si>
    <t>order_id = 558</t>
  </si>
  <si>
    <t>order_id = 559</t>
  </si>
  <si>
    <t>order_id = 560</t>
  </si>
  <si>
    <t>order_id = 561</t>
  </si>
  <si>
    <t>order_id = 562</t>
  </si>
  <si>
    <t>order_id = 563</t>
  </si>
  <si>
    <t>order_id = 564</t>
  </si>
  <si>
    <t>order_id = 565</t>
  </si>
  <si>
    <t>order_id = 566</t>
  </si>
  <si>
    <t>order_id = 567</t>
  </si>
  <si>
    <t>order_id = 568</t>
  </si>
  <si>
    <t>order_id = 569</t>
  </si>
  <si>
    <t>order_id = 570</t>
  </si>
  <si>
    <t>order_id = 571</t>
  </si>
  <si>
    <t>order_id = 572</t>
  </si>
  <si>
    <t>order_id = 573</t>
  </si>
  <si>
    <t>order_id = 574</t>
  </si>
  <si>
    <t>order_id = 575</t>
  </si>
  <si>
    <t>order_id = 576</t>
  </si>
  <si>
    <t>order_id = 577</t>
  </si>
  <si>
    <t>order_id = 578</t>
  </si>
  <si>
    <t>order_id = 579</t>
  </si>
  <si>
    <t>order_id = 580</t>
  </si>
  <si>
    <t>order_id = 581</t>
  </si>
  <si>
    <t>order_id = 582</t>
  </si>
  <si>
    <t>order_id = 583</t>
  </si>
  <si>
    <t>order_id = 584</t>
  </si>
  <si>
    <t>order_id = 585</t>
  </si>
  <si>
    <t>order_id = 586</t>
  </si>
  <si>
    <t>order_id = 587</t>
  </si>
  <si>
    <t>order_id = 588</t>
  </si>
  <si>
    <t>order_id = 589</t>
  </si>
  <si>
    <t>order_id = 590</t>
  </si>
  <si>
    <t>order_id = 591</t>
  </si>
  <si>
    <t>order_id = 592</t>
  </si>
  <si>
    <t>order_id = 593</t>
  </si>
  <si>
    <t>order_id = 594</t>
  </si>
  <si>
    <t>order_id = 595</t>
  </si>
  <si>
    <t>order_id = 596</t>
  </si>
  <si>
    <t>order_id = 597</t>
  </si>
  <si>
    <t>order_id = 598</t>
  </si>
  <si>
    <t>order_id = 599</t>
  </si>
  <si>
    <t>order_id = 600</t>
  </si>
  <si>
    <t>order_id = 601</t>
  </si>
  <si>
    <t>order_id = 602</t>
  </si>
  <si>
    <t>order_id = 603</t>
  </si>
  <si>
    <t>order_id = 604</t>
  </si>
  <si>
    <t>order_id = 605</t>
  </si>
  <si>
    <t>order_id = 606</t>
  </si>
  <si>
    <t>order_id = 607</t>
  </si>
  <si>
    <t>order_id = 608</t>
  </si>
  <si>
    <t>order_id = 609</t>
  </si>
  <si>
    <t>order_id = 610</t>
  </si>
  <si>
    <t>order_id = 611</t>
  </si>
  <si>
    <t>order_id = 612</t>
  </si>
  <si>
    <t>order_id = 613</t>
  </si>
  <si>
    <t>order_id = 614</t>
  </si>
  <si>
    <t>order_id = 615</t>
  </si>
  <si>
    <t>order_id = 616</t>
  </si>
  <si>
    <t>order_id = 617</t>
  </si>
  <si>
    <t>order_id = 618</t>
  </si>
  <si>
    <t>order_id = 619</t>
  </si>
  <si>
    <t>order_id = 620</t>
  </si>
  <si>
    <t>order_id = 621</t>
  </si>
  <si>
    <t>order_id = 622</t>
  </si>
  <si>
    <t>order_id = 623</t>
  </si>
  <si>
    <t>order_id = 624</t>
  </si>
  <si>
    <t>order_id = 625</t>
  </si>
  <si>
    <t>order_id = 626</t>
  </si>
  <si>
    <t>order_id = 627</t>
  </si>
  <si>
    <t>order_id = 628</t>
  </si>
  <si>
    <t>order_id = 629</t>
  </si>
  <si>
    <t>order_id = 630</t>
  </si>
  <si>
    <t>order_id = 631</t>
  </si>
  <si>
    <t>order_id = 632</t>
  </si>
  <si>
    <t>order_id = 633</t>
  </si>
  <si>
    <t>order_id = 634</t>
  </si>
  <si>
    <t>order_id = 635</t>
  </si>
  <si>
    <t>order_id = 636</t>
  </si>
  <si>
    <t>order_id = 637</t>
  </si>
  <si>
    <t>order_id = 638</t>
  </si>
  <si>
    <t>order_id = 639</t>
  </si>
  <si>
    <t>order_id = 640</t>
  </si>
  <si>
    <t>order_id = 641</t>
  </si>
  <si>
    <t>order_id = 642</t>
  </si>
  <si>
    <t>order_id = 643</t>
  </si>
  <si>
    <t>order_id = 644</t>
  </si>
  <si>
    <t>order_id = 645</t>
  </si>
  <si>
    <t>order_id = 646</t>
  </si>
  <si>
    <t>order_id = 647</t>
  </si>
  <si>
    <t>order_id = 648</t>
  </si>
  <si>
    <t>order_id = 649</t>
  </si>
  <si>
    <t>order_id = 650</t>
  </si>
  <si>
    <t>order_id = 651</t>
  </si>
  <si>
    <t>order_id = 652</t>
  </si>
  <si>
    <t>order_id = 653</t>
  </si>
  <si>
    <t>order_id = 654</t>
  </si>
  <si>
    <t>order_id = 655</t>
  </si>
  <si>
    <t>order_id = 656</t>
  </si>
  <si>
    <t>order_id = 657</t>
  </si>
  <si>
    <t>order_id = 658</t>
  </si>
  <si>
    <t>order_id = 659</t>
  </si>
  <si>
    <t>order_id = 660</t>
  </si>
  <si>
    <t>order_id = 661</t>
  </si>
  <si>
    <t>order_id = 662</t>
  </si>
  <si>
    <t>order_id = 663</t>
  </si>
  <si>
    <t>order_id = 664</t>
  </si>
  <si>
    <t>order_id = 665</t>
  </si>
  <si>
    <t>order_id = 666</t>
  </si>
  <si>
    <t>order_id = 667</t>
  </si>
  <si>
    <t>order_id = 668</t>
  </si>
  <si>
    <t>order_id = 669</t>
  </si>
  <si>
    <t>order_id = 670</t>
  </si>
  <si>
    <t>order_id = 671</t>
  </si>
  <si>
    <t>order_id = 672</t>
  </si>
  <si>
    <t>order_id = 673</t>
  </si>
  <si>
    <t>order_id = 674</t>
  </si>
  <si>
    <t>order_id = 675</t>
  </si>
  <si>
    <t>order_id = 676</t>
  </si>
  <si>
    <t>order_id = 677</t>
  </si>
  <si>
    <t>order_id = 678</t>
  </si>
  <si>
    <t>order_id = 679</t>
  </si>
  <si>
    <t>order_id = 680</t>
  </si>
  <si>
    <t>order_id = 681</t>
  </si>
  <si>
    <t>order_id = 682</t>
  </si>
  <si>
    <t>order_id = 683</t>
  </si>
  <si>
    <t>order_id = 684</t>
  </si>
  <si>
    <t>order_id = 685</t>
  </si>
  <si>
    <t>order_id = 686</t>
  </si>
  <si>
    <t>order_id = 687</t>
  </si>
  <si>
    <t>order_id = 688</t>
  </si>
  <si>
    <t>order_id = 689</t>
  </si>
  <si>
    <t>order_id = 690</t>
  </si>
  <si>
    <t>order_id = 691</t>
  </si>
  <si>
    <t>order_id = 692</t>
  </si>
  <si>
    <t>order_id = 693</t>
  </si>
  <si>
    <t>order_id = 694</t>
  </si>
  <si>
    <t>order_id = 695</t>
  </si>
  <si>
    <t>order_id = 696</t>
  </si>
  <si>
    <t>order_id = 697</t>
  </si>
  <si>
    <t>order_id = 698</t>
  </si>
  <si>
    <t>order_id = 699</t>
  </si>
  <si>
    <t>order_id = 700</t>
  </si>
  <si>
    <t>order_id = 701</t>
  </si>
  <si>
    <t>order_id = 702</t>
  </si>
  <si>
    <t>order_id = 703</t>
  </si>
  <si>
    <t>order_id = 704</t>
  </si>
  <si>
    <t>order_id = 705</t>
  </si>
  <si>
    <t>order_id = 706</t>
  </si>
  <si>
    <t>order_id = 707</t>
  </si>
  <si>
    <t>order_id = 708</t>
  </si>
  <si>
    <t>order_id = 709</t>
  </si>
  <si>
    <t>order_id = 710</t>
  </si>
  <si>
    <t>order_id = 711</t>
  </si>
  <si>
    <t>order_id = 712</t>
  </si>
  <si>
    <t>order_id = 713</t>
  </si>
  <si>
    <t>order_id = 714</t>
  </si>
  <si>
    <t>order_id = 715</t>
  </si>
  <si>
    <t>order_id = 716</t>
  </si>
  <si>
    <t>order_id = 717</t>
  </si>
  <si>
    <t>order_id = 718</t>
  </si>
  <si>
    <t>order_id = 719</t>
  </si>
  <si>
    <t>order_id = 720</t>
  </si>
  <si>
    <t>order_id = 721</t>
  </si>
  <si>
    <t>order_id = 722</t>
  </si>
  <si>
    <t>order_id = 723</t>
  </si>
  <si>
    <t>order_id = 724</t>
  </si>
  <si>
    <t>order_id = 725</t>
  </si>
  <si>
    <t>order_id = 726</t>
  </si>
  <si>
    <t>order_id = 727</t>
  </si>
  <si>
    <t>order_id = 728</t>
  </si>
  <si>
    <t>order_id = 729</t>
  </si>
  <si>
    <t>order_id = 730</t>
  </si>
  <si>
    <t>order_id = 731</t>
  </si>
  <si>
    <t>order_id = 732</t>
  </si>
  <si>
    <t>order_id = 733</t>
  </si>
  <si>
    <t>order_id = 734</t>
  </si>
  <si>
    <t>order_id = 735</t>
  </si>
  <si>
    <t>order_id = 736</t>
  </si>
  <si>
    <t>order_id = 737</t>
  </si>
  <si>
    <t>order_id = 738</t>
  </si>
  <si>
    <t>order_id = 739</t>
  </si>
  <si>
    <t>order_id = 740</t>
  </si>
  <si>
    <t>order_id = 741</t>
  </si>
  <si>
    <t>order_id = 742</t>
  </si>
  <si>
    <t>order_id = 743</t>
  </si>
  <si>
    <t>order_id = 744</t>
  </si>
  <si>
    <t>order_id = 745</t>
  </si>
  <si>
    <t>order_id = 746</t>
  </si>
  <si>
    <t>order_id = 747</t>
  </si>
  <si>
    <t>order_id = 748</t>
  </si>
  <si>
    <t>order_id = 749</t>
  </si>
  <si>
    <t>order_id = 750</t>
  </si>
  <si>
    <t>order_id = 751</t>
  </si>
  <si>
    <t>order_id = 752</t>
  </si>
  <si>
    <t>order_id = 753</t>
  </si>
  <si>
    <t>order_id = 754</t>
  </si>
  <si>
    <t>order_id = 755</t>
  </si>
  <si>
    <t>order_id = 756</t>
  </si>
  <si>
    <t>order_id = 757</t>
  </si>
  <si>
    <t>order_id = 758</t>
  </si>
  <si>
    <t>order_id = 759</t>
  </si>
  <si>
    <t>order_id = 760</t>
  </si>
  <si>
    <t>order_id = 761</t>
  </si>
  <si>
    <t>order_id = 762</t>
  </si>
  <si>
    <t>order_id = 763</t>
  </si>
  <si>
    <t>order_id = 764</t>
  </si>
  <si>
    <t>order_id = 765</t>
  </si>
  <si>
    <t>order_id = 766</t>
  </si>
  <si>
    <t>order_id = 767</t>
  </si>
  <si>
    <t>order_id = 768</t>
  </si>
  <si>
    <t>order_id = 769</t>
  </si>
  <si>
    <t>order_id = 770</t>
  </si>
  <si>
    <t>order_id = 771</t>
  </si>
  <si>
    <t>order_id = 772</t>
  </si>
  <si>
    <t>order_id = 773</t>
  </si>
  <si>
    <t>order_id = 774</t>
  </si>
  <si>
    <t>order_id = 775</t>
  </si>
  <si>
    <t>order_id = 776</t>
  </si>
  <si>
    <t>order_id = 777</t>
  </si>
  <si>
    <t>order_id = 778</t>
  </si>
  <si>
    <t>order_id = 779</t>
  </si>
  <si>
    <t>order_id = 780</t>
  </si>
  <si>
    <t>order_id = 781</t>
  </si>
  <si>
    <t>order_id = 782</t>
  </si>
  <si>
    <t>order_id = 783</t>
  </si>
  <si>
    <t>order_id = 784</t>
  </si>
  <si>
    <t>order_id = 785</t>
  </si>
  <si>
    <t>order_id = 786</t>
  </si>
  <si>
    <t>order_id = 787</t>
  </si>
  <si>
    <t>order_id = 788</t>
  </si>
  <si>
    <t>order_id = 789</t>
  </si>
  <si>
    <t>order_id = 790</t>
  </si>
  <si>
    <t>order_id = 791</t>
  </si>
  <si>
    <t>order_id = 792</t>
  </si>
  <si>
    <t>order_id = 793</t>
  </si>
  <si>
    <t>order_id = 794</t>
  </si>
  <si>
    <t>order_id = 795</t>
  </si>
  <si>
    <t>order_id = 796</t>
  </si>
  <si>
    <t>order_id = 797</t>
  </si>
  <si>
    <t>order_id = 798</t>
  </si>
  <si>
    <t>order_id = 799</t>
  </si>
  <si>
    <t>order_id = 800</t>
  </si>
  <si>
    <t>order_id = 801</t>
  </si>
  <si>
    <t>order_id = 802</t>
  </si>
  <si>
    <t>order_id = 803</t>
  </si>
  <si>
    <t>order_id = 804</t>
  </si>
  <si>
    <t>order_id = 805</t>
  </si>
  <si>
    <t>order_id = 806</t>
  </si>
  <si>
    <t>order_id = 807</t>
  </si>
  <si>
    <t>order_id = 808</t>
  </si>
  <si>
    <t>order_id = 809</t>
  </si>
  <si>
    <t>order_id = 810</t>
  </si>
  <si>
    <t>order_id = 811</t>
  </si>
  <si>
    <t>order_id = 812</t>
  </si>
  <si>
    <t>order_id = 813</t>
  </si>
  <si>
    <t>order_id = 814</t>
  </si>
  <si>
    <t>order_id = 815</t>
  </si>
  <si>
    <t>order_id = 816</t>
  </si>
  <si>
    <t>order_id = 817</t>
  </si>
  <si>
    <t>order_id = 818</t>
  </si>
  <si>
    <t>order_id = 819</t>
  </si>
  <si>
    <t>order_id = 820</t>
  </si>
  <si>
    <t>order_id = 821</t>
  </si>
  <si>
    <t>order_id = 822</t>
  </si>
  <si>
    <t>order_id = 823</t>
  </si>
  <si>
    <t>order_id = 824</t>
  </si>
  <si>
    <t>order_id = 825</t>
  </si>
  <si>
    <t>order_id = 826</t>
  </si>
  <si>
    <t>order_id = 827</t>
  </si>
  <si>
    <t>order_id = 828</t>
  </si>
  <si>
    <t>order_id = 829</t>
  </si>
  <si>
    <t>order_id = 830</t>
  </si>
  <si>
    <t>order_id = 831</t>
  </si>
  <si>
    <t>order_id = 832</t>
  </si>
  <si>
    <t>order_id = 833</t>
  </si>
  <si>
    <t>order_id = 834</t>
  </si>
  <si>
    <t>order_id = 835</t>
  </si>
  <si>
    <t>order_id = 836</t>
  </si>
  <si>
    <t>order_id = 837</t>
  </si>
  <si>
    <t>order_id = 838</t>
  </si>
  <si>
    <t>order_id = 839</t>
  </si>
  <si>
    <t>order_id = 840</t>
  </si>
  <si>
    <t>order_id = 841</t>
  </si>
  <si>
    <t>order_id = 842</t>
  </si>
  <si>
    <t>order_id = 843</t>
  </si>
  <si>
    <t>order_id = 844</t>
  </si>
  <si>
    <t>order_id = 845</t>
  </si>
  <si>
    <t>order_id = 846</t>
  </si>
  <si>
    <t>order_id = 847</t>
  </si>
  <si>
    <t>order_id = 848</t>
  </si>
  <si>
    <t>order_id = 849</t>
  </si>
  <si>
    <t>order_id = 850</t>
  </si>
  <si>
    <t>order_id = 851</t>
  </si>
  <si>
    <t>order_id = 852</t>
  </si>
  <si>
    <t>order_id = 853</t>
  </si>
  <si>
    <t>order_id = 854</t>
  </si>
  <si>
    <t>order_id = 855</t>
  </si>
  <si>
    <t>order_id = 856</t>
  </si>
  <si>
    <t>order_id = 857</t>
  </si>
  <si>
    <t>order_id = 858</t>
  </si>
  <si>
    <t>order_id = 859</t>
  </si>
  <si>
    <t>order_id = 860</t>
  </si>
  <si>
    <t>order_id = 861</t>
  </si>
  <si>
    <t>order_id = 862</t>
  </si>
  <si>
    <t>order_id = 863</t>
  </si>
  <si>
    <t>order_id = 864</t>
  </si>
  <si>
    <t>order_id = 865</t>
  </si>
  <si>
    <t>order_id = 866</t>
  </si>
  <si>
    <t>order_id = 867</t>
  </si>
  <si>
    <t>order_id = 868</t>
  </si>
  <si>
    <t>order_id = 869</t>
  </si>
  <si>
    <t>order_id = 870</t>
  </si>
  <si>
    <t>order_id = 871</t>
  </si>
  <si>
    <t>order_id = 872</t>
  </si>
  <si>
    <t>order_id = 873</t>
  </si>
  <si>
    <t>order_id = 874</t>
  </si>
  <si>
    <t>order_id = 875</t>
  </si>
  <si>
    <t>order_id = 876</t>
  </si>
  <si>
    <t>order_id = 877</t>
  </si>
  <si>
    <t>order_id = 878</t>
  </si>
  <si>
    <t>order_id = 879</t>
  </si>
  <si>
    <t>order_id = 880</t>
  </si>
  <si>
    <t>order_id = 881</t>
  </si>
  <si>
    <t>order_id = 882</t>
  </si>
  <si>
    <t>order_id = 883</t>
  </si>
  <si>
    <t>order_id = 884</t>
  </si>
  <si>
    <t>order_id = 885</t>
  </si>
  <si>
    <t>order_id = 886</t>
  </si>
  <si>
    <t>order_id = 887</t>
  </si>
  <si>
    <t>order_id = 888</t>
  </si>
  <si>
    <t>order_id = 889</t>
  </si>
  <si>
    <t>order_id = 890</t>
  </si>
  <si>
    <t>order_id = 891</t>
  </si>
  <si>
    <t>order_id = 892</t>
  </si>
  <si>
    <t>order_id = 893</t>
  </si>
  <si>
    <t>order_id = 894</t>
  </si>
  <si>
    <t>order_id = 895</t>
  </si>
  <si>
    <t>order_id = 896</t>
  </si>
  <si>
    <t>order_id = 897</t>
  </si>
  <si>
    <t>order_id = 898</t>
  </si>
  <si>
    <t>order_id = 899</t>
  </si>
  <si>
    <t>order_id = 900</t>
  </si>
  <si>
    <t>order_id = 901</t>
  </si>
  <si>
    <t>order_id = 902</t>
  </si>
  <si>
    <t>order_id = 903</t>
  </si>
  <si>
    <t>order_id = 904</t>
  </si>
  <si>
    <t>order_id = 905</t>
  </si>
  <si>
    <t>order_id = 906</t>
  </si>
  <si>
    <t>order_id = 907</t>
  </si>
  <si>
    <t>order_id = 908</t>
  </si>
  <si>
    <t>order_id = 909</t>
  </si>
  <si>
    <t>order_id = 910</t>
  </si>
  <si>
    <t>order_id = 911</t>
  </si>
  <si>
    <t>order_id = 912</t>
  </si>
  <si>
    <t>order_id = 913</t>
  </si>
  <si>
    <t>order_id = 914</t>
  </si>
  <si>
    <t>order_id = 915</t>
  </si>
  <si>
    <t>order_id = 916</t>
  </si>
  <si>
    <t>order_id = 917</t>
  </si>
  <si>
    <t>order_id = 918</t>
  </si>
  <si>
    <t>order_id = 919</t>
  </si>
  <si>
    <t>order_id = 920</t>
  </si>
  <si>
    <t>order_id = 921</t>
  </si>
  <si>
    <t>order_id = 922</t>
  </si>
  <si>
    <t>order_id = 923</t>
  </si>
  <si>
    <t>order_id = 924</t>
  </si>
  <si>
    <t>order_id = 925</t>
  </si>
  <si>
    <t>order_id = 926</t>
  </si>
  <si>
    <t>order_id = 927</t>
  </si>
  <si>
    <t>order_id = 928</t>
  </si>
  <si>
    <t>order_id = 929</t>
  </si>
  <si>
    <t>order_id = 930</t>
  </si>
  <si>
    <t>order_id = 931</t>
  </si>
  <si>
    <t>order_id = 932</t>
  </si>
  <si>
    <t>order_id = 933</t>
  </si>
  <si>
    <t>order_id = 934</t>
  </si>
  <si>
    <t>order_id = 935</t>
  </si>
  <si>
    <t>order_id = 936</t>
  </si>
  <si>
    <t>order_id = 937</t>
  </si>
  <si>
    <t>order_id = 938</t>
  </si>
  <si>
    <t>order_id = 939</t>
  </si>
  <si>
    <t>order_id = 940</t>
  </si>
  <si>
    <t>order_id = 941</t>
  </si>
  <si>
    <t>order_id = 942</t>
  </si>
  <si>
    <t>order_id = 943</t>
  </si>
  <si>
    <t>order_id = 944</t>
  </si>
  <si>
    <t>order_id = 945</t>
  </si>
  <si>
    <t>order_id = 946</t>
  </si>
  <si>
    <t>order_id = 947</t>
  </si>
  <si>
    <t>order_id = 948</t>
  </si>
  <si>
    <t>order_id = 949</t>
  </si>
  <si>
    <t>order_id = 950</t>
  </si>
  <si>
    <t>order_id = 951</t>
  </si>
  <si>
    <t>order_id = 952</t>
  </si>
  <si>
    <t>order_id = 953</t>
  </si>
  <si>
    <t>order_id = 954</t>
  </si>
  <si>
    <t>order_id = 955</t>
  </si>
  <si>
    <t>order_id = 956</t>
  </si>
  <si>
    <t>order_id = 957</t>
  </si>
  <si>
    <t>order_id = 958</t>
  </si>
  <si>
    <t>order_id = 959</t>
  </si>
  <si>
    <t>order_id = 960</t>
  </si>
  <si>
    <t>order_id = 961</t>
  </si>
  <si>
    <t>order_id = 962</t>
  </si>
  <si>
    <t>order_id = 963</t>
  </si>
  <si>
    <t>order_id = 964</t>
  </si>
  <si>
    <t>order_id = 965</t>
  </si>
  <si>
    <t>order_id = 966</t>
  </si>
  <si>
    <t>order_id = 967</t>
  </si>
  <si>
    <t>order_id = 968</t>
  </si>
  <si>
    <t>order_id = 969</t>
  </si>
  <si>
    <t>order_id = 970</t>
  </si>
  <si>
    <t>order_id = 971</t>
  </si>
  <si>
    <t>order_id = 972</t>
  </si>
  <si>
    <t>order_id = 973</t>
  </si>
  <si>
    <t>order_id = 974</t>
  </si>
  <si>
    <t>order_id = 975</t>
  </si>
  <si>
    <t>order_id = 976</t>
  </si>
  <si>
    <t>order_id = 977</t>
  </si>
  <si>
    <t>order_id = 978</t>
  </si>
  <si>
    <t>order_id = 979</t>
  </si>
  <si>
    <t>order_id = 980</t>
  </si>
  <si>
    <t>order_id = 981</t>
  </si>
  <si>
    <t>order_id = 982</t>
  </si>
  <si>
    <t>order_id = 983</t>
  </si>
  <si>
    <t>order_id = 984</t>
  </si>
  <si>
    <t>order_id = 985</t>
  </si>
  <si>
    <t>order_id = 986</t>
  </si>
  <si>
    <t>order_id = 987</t>
  </si>
  <si>
    <t>order_id = 988</t>
  </si>
  <si>
    <t>order_id = 989</t>
  </si>
  <si>
    <t>order_id = 990</t>
  </si>
  <si>
    <t>order_id = 991</t>
  </si>
  <si>
    <t>order_id = 992</t>
  </si>
  <si>
    <t>order_id = 993</t>
  </si>
  <si>
    <t>order_id = 994</t>
  </si>
  <si>
    <t>order_id = 995</t>
  </si>
  <si>
    <t>order_id = 996</t>
  </si>
  <si>
    <t>order_id = 997</t>
  </si>
  <si>
    <t>order_id = 998</t>
  </si>
  <si>
    <t>order_id = 999</t>
  </si>
  <si>
    <t>order_id = 1000</t>
  </si>
  <si>
    <t>order_id = 1001</t>
  </si>
  <si>
    <t>order_id = 1002</t>
  </si>
  <si>
    <t>order_id = 1003</t>
  </si>
  <si>
    <t>order_id = 1004</t>
  </si>
  <si>
    <t>order_id = 1005</t>
  </si>
  <si>
    <t>order_id = 1006</t>
  </si>
  <si>
    <t>order_id = 1007</t>
  </si>
  <si>
    <t>order_id = 1008</t>
  </si>
  <si>
    <t>order_id = 1009</t>
  </si>
  <si>
    <t>order_id = 1010</t>
  </si>
  <si>
    <t>order_id = 1011</t>
  </si>
  <si>
    <t>order_id = 1012</t>
  </si>
  <si>
    <t>order_id = 1013</t>
  </si>
  <si>
    <t>order_id = 1014</t>
  </si>
  <si>
    <t>order_id = 1015</t>
  </si>
  <si>
    <t>order_id = 1016</t>
  </si>
  <si>
    <t>order_id = 1017</t>
  </si>
  <si>
    <t>order_id = 1018</t>
  </si>
  <si>
    <t>order_id = 1019</t>
  </si>
  <si>
    <t>order_id = 1020</t>
  </si>
  <si>
    <t>order_id = 1021</t>
  </si>
  <si>
    <t>order_id = 1022</t>
  </si>
  <si>
    <t>order_id = 1023</t>
  </si>
  <si>
    <t>order_id = 1024</t>
  </si>
  <si>
    <t>order_id = 1025</t>
  </si>
  <si>
    <t>order_id = 1026</t>
  </si>
  <si>
    <t>order_id = 1027</t>
  </si>
  <si>
    <t>order_id = 1028</t>
  </si>
  <si>
    <t>order_id = 1029</t>
  </si>
  <si>
    <t>order_id = 1030</t>
  </si>
  <si>
    <t>order_id = 1031</t>
  </si>
  <si>
    <t>order_id = 1032</t>
  </si>
  <si>
    <t>order_id = 1033</t>
  </si>
  <si>
    <t>order_id = 1034</t>
  </si>
  <si>
    <t>order_id = 1035</t>
  </si>
  <si>
    <t>order_id = 1036</t>
  </si>
  <si>
    <t>order_id = 1037</t>
  </si>
  <si>
    <t>order_id = 1038</t>
  </si>
  <si>
    <t>order_id = 1039</t>
  </si>
  <si>
    <t>order_id = 1040</t>
  </si>
  <si>
    <t>order_id = 1041</t>
  </si>
  <si>
    <t>order_id = 1042</t>
  </si>
  <si>
    <t>order_id = 1043</t>
  </si>
  <si>
    <t>order_id = 1044</t>
  </si>
  <si>
    <t>order_id = 1045</t>
  </si>
  <si>
    <t>order_id = 1046</t>
  </si>
  <si>
    <t>order_id = 1047</t>
  </si>
  <si>
    <t>order_id = 1048</t>
  </si>
  <si>
    <t>order_id = 1049</t>
  </si>
  <si>
    <t>order_id = 1050</t>
  </si>
  <si>
    <t>order_id = 1051</t>
  </si>
  <si>
    <t>order_id = 1052</t>
  </si>
  <si>
    <t>order_id = 1053</t>
  </si>
  <si>
    <t>order_id = 1054</t>
  </si>
  <si>
    <t>order_id = 1055</t>
  </si>
  <si>
    <t>order_id = 1056</t>
  </si>
  <si>
    <t>order_id = 1057</t>
  </si>
  <si>
    <t>order_id = 1058</t>
  </si>
  <si>
    <t>order_id = 1059</t>
  </si>
  <si>
    <t>order_id = 1060</t>
  </si>
  <si>
    <t>order_id = 1061</t>
  </si>
  <si>
    <t>order_id = 1062</t>
  </si>
  <si>
    <t>order_id = 1063</t>
  </si>
  <si>
    <t>order_id = 1064</t>
  </si>
  <si>
    <t>order_id = 1065</t>
  </si>
  <si>
    <t>order_id = 1066</t>
  </si>
  <si>
    <t>order_id = 1067</t>
  </si>
  <si>
    <t>order_id = 1068</t>
  </si>
  <si>
    <t>order_id = 1069</t>
  </si>
  <si>
    <t>order_id = 1070</t>
  </si>
  <si>
    <t>order_id = 1071</t>
  </si>
  <si>
    <t>order_id = 1072</t>
  </si>
  <si>
    <t>order_id = 1073</t>
  </si>
  <si>
    <t>order_id = 1074</t>
  </si>
  <si>
    <t>order_id = 1075</t>
  </si>
  <si>
    <t>order_id = 1076</t>
  </si>
  <si>
    <t>order_id = 1077</t>
  </si>
  <si>
    <t>order_id = 1078</t>
  </si>
  <si>
    <t>order_id = 1079</t>
  </si>
  <si>
    <t>order_id = 1080</t>
  </si>
  <si>
    <t>order_id = 1081</t>
  </si>
  <si>
    <t>order_id = 1082</t>
  </si>
  <si>
    <t>order_id = 1083</t>
  </si>
  <si>
    <t>order_id = 1084</t>
  </si>
  <si>
    <t>order_id = 1085</t>
  </si>
  <si>
    <t>order_id = 1086</t>
  </si>
  <si>
    <t>order_id = 1087</t>
  </si>
  <si>
    <t>order_id = 1088</t>
  </si>
  <si>
    <t>order_id = 1089</t>
  </si>
  <si>
    <t>order_id = 1090</t>
  </si>
  <si>
    <t>order_id = 1091</t>
  </si>
  <si>
    <t>order_id = 1092</t>
  </si>
  <si>
    <t>order_id = 1093</t>
  </si>
  <si>
    <t>order_id = 1094</t>
  </si>
  <si>
    <t>order_id = 1095</t>
  </si>
  <si>
    <t>order_id = 1096</t>
  </si>
  <si>
    <t>order_id = 1097</t>
  </si>
  <si>
    <t>order_id = 1098</t>
  </si>
  <si>
    <t>order_id = 1099</t>
  </si>
  <si>
    <t>order_id = 1100</t>
  </si>
  <si>
    <t>order_id = 1101</t>
  </si>
  <si>
    <t>order_id = 1102</t>
  </si>
  <si>
    <t>order_id = 1103</t>
  </si>
  <si>
    <t>order_id = 1104</t>
  </si>
  <si>
    <t>order_id = 1105</t>
  </si>
  <si>
    <t>order_id = 1106</t>
  </si>
  <si>
    <t>order_id = 1107</t>
  </si>
  <si>
    <t>order_id = 1108</t>
  </si>
  <si>
    <t>order_id = 1109</t>
  </si>
  <si>
    <t>order_id = 1110</t>
  </si>
  <si>
    <t>order_id = 1111</t>
  </si>
  <si>
    <t>order_id = 1112</t>
  </si>
  <si>
    <t>order_id = 1113</t>
  </si>
  <si>
    <t>order_id = 1114</t>
  </si>
  <si>
    <t>order_id = 1115</t>
  </si>
  <si>
    <t>order_id = 1116</t>
  </si>
  <si>
    <t>order_id = 1117</t>
  </si>
  <si>
    <t>order_id = 1118</t>
  </si>
  <si>
    <t>order_id = 1119</t>
  </si>
  <si>
    <t>order_id = 1120</t>
  </si>
  <si>
    <t>order_id = 1121</t>
  </si>
  <si>
    <t>order_id = 1122</t>
  </si>
  <si>
    <t>order_id = 1123</t>
  </si>
  <si>
    <t>order_id = 1124</t>
  </si>
  <si>
    <t>order_id = 1125</t>
  </si>
  <si>
    <t>order_id = 1126</t>
  </si>
  <si>
    <t>order_id = 1127</t>
  </si>
  <si>
    <t>order_id = 1128</t>
  </si>
  <si>
    <t>order_id = 1129</t>
  </si>
  <si>
    <t>order_id = 1130</t>
  </si>
  <si>
    <t>order_id = 1131</t>
  </si>
  <si>
    <t>order_id = 1132</t>
  </si>
  <si>
    <t>order_id = 1133</t>
  </si>
  <si>
    <t>order_id = 1134</t>
  </si>
  <si>
    <t>order_id = 1135</t>
  </si>
  <si>
    <t>order_id = 1136</t>
  </si>
  <si>
    <t>order_id = 1137</t>
  </si>
  <si>
    <t>order_id = 1138</t>
  </si>
  <si>
    <t>order_id = 1139</t>
  </si>
  <si>
    <t>order_id = 1140</t>
  </si>
  <si>
    <t>order_id = 1141</t>
  </si>
  <si>
    <t>order_id = 1142</t>
  </si>
  <si>
    <t>order_id = 1143</t>
  </si>
  <si>
    <t>order_id = 1144</t>
  </si>
  <si>
    <t>order_id = 1145</t>
  </si>
  <si>
    <t>order_id = 1146</t>
  </si>
  <si>
    <t>order_id = 1147</t>
  </si>
  <si>
    <t>order_id = 1148</t>
  </si>
  <si>
    <t>order_id = 1149</t>
  </si>
  <si>
    <t>order_id = 1150</t>
  </si>
  <si>
    <t>order_id = 1151</t>
  </si>
  <si>
    <t>order_id = 1152</t>
  </si>
  <si>
    <t>order_id = 1153</t>
  </si>
  <si>
    <t>order_id = 1154</t>
  </si>
  <si>
    <t>order_id = 1155</t>
  </si>
  <si>
    <t>order_id = 1156</t>
  </si>
  <si>
    <t>order_id = 1157</t>
  </si>
  <si>
    <t>order_id = 1158</t>
  </si>
  <si>
    <t>order_id = 1159</t>
  </si>
  <si>
    <t>order_id = 1160</t>
  </si>
  <si>
    <t>order_id = 1161</t>
  </si>
  <si>
    <t>order_id = 1162</t>
  </si>
  <si>
    <t>order_id = 1163</t>
  </si>
  <si>
    <t>order_id = 1164</t>
  </si>
  <si>
    <t>order_id = 1165</t>
  </si>
  <si>
    <t>order_id = 1166</t>
  </si>
  <si>
    <t>order_id = 1167</t>
  </si>
  <si>
    <t>order_id = 1168</t>
  </si>
  <si>
    <t>order_id = 1169</t>
  </si>
  <si>
    <t>order_id = 1170</t>
  </si>
  <si>
    <t>order_id = 1171</t>
  </si>
  <si>
    <t>order_id = 1172</t>
  </si>
  <si>
    <t>order_id = 1173</t>
  </si>
  <si>
    <t>order_id = 1174</t>
  </si>
  <si>
    <t>order_id = 1175</t>
  </si>
  <si>
    <t>order_id = 1176</t>
  </si>
  <si>
    <t>order_id = 1177</t>
  </si>
  <si>
    <t>order_id = 1178</t>
  </si>
  <si>
    <t>order_id = 1179</t>
  </si>
  <si>
    <t>order_id = 1180</t>
  </si>
  <si>
    <t>order_id = 1181</t>
  </si>
  <si>
    <t>order_id = 1182</t>
  </si>
  <si>
    <t>order_id = 1183</t>
  </si>
  <si>
    <t>order_id = 1184</t>
  </si>
  <si>
    <t>order_id = 1185</t>
  </si>
  <si>
    <t>order_id = 1186</t>
  </si>
  <si>
    <t>order_id = 1187</t>
  </si>
  <si>
    <t>order_id = 1188</t>
  </si>
  <si>
    <t>order_id = 1189</t>
  </si>
  <si>
    <t>order_id = 1190</t>
  </si>
  <si>
    <t>order_id = 1191</t>
  </si>
  <si>
    <t>order_id = 1192</t>
  </si>
  <si>
    <t>order_id = 1193</t>
  </si>
  <si>
    <t>order_id = 1194</t>
  </si>
  <si>
    <t>order_id = 1195</t>
  </si>
  <si>
    <t>order_id = 1196</t>
  </si>
  <si>
    <t>order_id = 1197</t>
  </si>
  <si>
    <t>order_id = 1198</t>
  </si>
  <si>
    <t>order_id = 1199</t>
  </si>
  <si>
    <t>order_id = 1200</t>
  </si>
  <si>
    <t>order_id = 1201</t>
  </si>
  <si>
    <t>order_id = 1202</t>
  </si>
  <si>
    <t>order_id = 1203</t>
  </si>
  <si>
    <t>order_id = 1204</t>
  </si>
  <si>
    <t>order_id = 1205</t>
  </si>
  <si>
    <t>order_id = 1206</t>
  </si>
  <si>
    <t>order_id = 1207</t>
  </si>
  <si>
    <t>order_id = 1208</t>
  </si>
  <si>
    <t>order_id = 1209</t>
  </si>
  <si>
    <t>order_id = 1210</t>
  </si>
  <si>
    <t>order_id = 1211</t>
  </si>
  <si>
    <t>order_id = 1212</t>
  </si>
  <si>
    <t>order_id = 1213</t>
  </si>
  <si>
    <t>order_id = 1214</t>
  </si>
  <si>
    <t>order_id = 1215</t>
  </si>
  <si>
    <t>order_id = 1216</t>
  </si>
  <si>
    <t>order_id = 1217</t>
  </si>
  <si>
    <t>order_id = 1218</t>
  </si>
  <si>
    <t>order_id = 1219</t>
  </si>
  <si>
    <t>order_id = 1220</t>
  </si>
  <si>
    <t>order_id = 1221</t>
  </si>
  <si>
    <t>order_id = 1222</t>
  </si>
  <si>
    <t>order_id = 1223</t>
  </si>
  <si>
    <t>order_id = 1224</t>
  </si>
  <si>
    <t>order_id = 1225</t>
  </si>
  <si>
    <t>order_id = 1226</t>
  </si>
  <si>
    <t>order_id = 1227</t>
  </si>
  <si>
    <t>order_id = 1228</t>
  </si>
  <si>
    <t>order_id = 1229</t>
  </si>
  <si>
    <t>order_id = 1230</t>
  </si>
  <si>
    <t>order_id = 1231</t>
  </si>
  <si>
    <t>order_id = 1232</t>
  </si>
  <si>
    <t>order_id = 1233</t>
  </si>
  <si>
    <t>order_id = 1234</t>
  </si>
  <si>
    <t>order_id = 1235</t>
  </si>
  <si>
    <t>order_id = 1236</t>
  </si>
  <si>
    <t>order_id = 1237</t>
  </si>
  <si>
    <t>order_id = 1238</t>
  </si>
  <si>
    <t>order_id = 1239</t>
  </si>
  <si>
    <t>order_id = 1240</t>
  </si>
  <si>
    <t>order_id = 1241</t>
  </si>
  <si>
    <t>order_id = 1242</t>
  </si>
  <si>
    <t>order_id = 1243</t>
  </si>
  <si>
    <t>order_id = 1244</t>
  </si>
  <si>
    <t>order_id = 1245</t>
  </si>
  <si>
    <t>order_id = 1246</t>
  </si>
  <si>
    <t>order_id = 1247</t>
  </si>
  <si>
    <t>order_id = 1248</t>
  </si>
  <si>
    <t>order_id = 1249</t>
  </si>
  <si>
    <t>order_id = 1250</t>
  </si>
  <si>
    <t>order_id = 1251</t>
  </si>
  <si>
    <t>order_id = 1252</t>
  </si>
  <si>
    <t>order_id = 1253</t>
  </si>
  <si>
    <t>order_id = 1254</t>
  </si>
  <si>
    <t>order_id = 1255</t>
  </si>
  <si>
    <t>order_id = 1256</t>
  </si>
  <si>
    <t>order_id = 1257</t>
  </si>
  <si>
    <t>order_id = 1258</t>
  </si>
  <si>
    <t>order_id = 1259</t>
  </si>
  <si>
    <t>order_id = 1260</t>
  </si>
  <si>
    <t>order_id = 1261</t>
  </si>
  <si>
    <t>order_id = 1262</t>
  </si>
  <si>
    <t>order_id = 1263</t>
  </si>
  <si>
    <t>order_id = 1264</t>
  </si>
  <si>
    <t>order_id = 1265</t>
  </si>
  <si>
    <t>order_id = 1266</t>
  </si>
  <si>
    <t>order_id = 1267</t>
  </si>
  <si>
    <t>order_id = 1268</t>
  </si>
  <si>
    <t>order_id = 1269</t>
  </si>
  <si>
    <t>order_id = 1270</t>
  </si>
  <si>
    <t>order_id = 1271</t>
  </si>
  <si>
    <t>order_id = 1272</t>
  </si>
  <si>
    <t>order_id = 1273</t>
  </si>
  <si>
    <t>order_id = 1274</t>
  </si>
  <si>
    <t>order_id = 1275</t>
  </si>
  <si>
    <t>order_id = 1276</t>
  </si>
  <si>
    <t>order_id = 1277</t>
  </si>
  <si>
    <t>order_id = 1278</t>
  </si>
  <si>
    <t>order_id = 1279</t>
  </si>
  <si>
    <t>order_id = 1280</t>
  </si>
  <si>
    <t>order_id = 1281</t>
  </si>
  <si>
    <t>order_id = 1282</t>
  </si>
  <si>
    <t>order_id = 1283</t>
  </si>
  <si>
    <t>order_id = 1284</t>
  </si>
  <si>
    <t>order_id = 1285</t>
  </si>
  <si>
    <t>order_id = 1286</t>
  </si>
  <si>
    <t>order_id = 1287</t>
  </si>
  <si>
    <t>order_id = 1288</t>
  </si>
  <si>
    <t>order_id = 1289</t>
  </si>
  <si>
    <t>order_id = 1290</t>
  </si>
  <si>
    <t>order_id = 1291</t>
  </si>
  <si>
    <t>order_id = 1292</t>
  </si>
  <si>
    <t>order_id = 1293</t>
  </si>
  <si>
    <t>order_id = 1294</t>
  </si>
  <si>
    <t>order_id = 1295</t>
  </si>
  <si>
    <t>order_id = 1296</t>
  </si>
  <si>
    <t>order_id = 1297</t>
  </si>
  <si>
    <t>order_id = 1298</t>
  </si>
  <si>
    <t>order_id = 1299</t>
  </si>
  <si>
    <t>order_id = 1300</t>
  </si>
  <si>
    <t>Row Labels</t>
  </si>
  <si>
    <t>Grand Total</t>
  </si>
  <si>
    <t>Sum of total sales</t>
  </si>
  <si>
    <t>1- Total order</t>
  </si>
  <si>
    <t>Count of order_id</t>
  </si>
  <si>
    <t>2-Total sales</t>
  </si>
  <si>
    <t>3-Total commission</t>
  </si>
  <si>
    <t>Sum of total commission</t>
  </si>
  <si>
    <t>4-Net sales</t>
  </si>
  <si>
    <t>Charts</t>
  </si>
  <si>
    <t>1- Total quantity sold per product ?</t>
  </si>
  <si>
    <t>Sum of Quantity</t>
  </si>
  <si>
    <t>2-Total sales by sale rep?</t>
  </si>
  <si>
    <t>3-Total commission by sale rep?</t>
  </si>
  <si>
    <t>4-total order by state?</t>
  </si>
  <si>
    <t>5-Total order by day?</t>
  </si>
  <si>
    <t>(All)</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</si>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</sst>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4"/>
      <color rgb="FFC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0" fillId="0" borderId="0" xfId="0" applyAlignment="1">
      <alignment horizontal="center"/>
    </xf>
    <xf numFmtId="14" fontId="0" fillId="0" borderId="0" xfId="0" applyNumberFormat="1" applyAlignment="1">
      <alignment horizontal="center"/>
    </xf>
    <xf numFmtId="0" fontId="1" fillId="0" borderId="0" xfId="0" applyFont="1"/>
    <xf numFmtId="14" fontId="0" fillId="0" borderId="0" xfId="0" applyNumberFormat="1" applyAlignment="1">
      <alignment horizontal="left"/>
    </xf>
    <xf numFmtId="0" fontId="0" fillId="0" borderId="0" xfId="0" applyNumberFormat="1"/>
  </cellXfs>
  <cellStyles count="1">
    <cellStyle name="Normal" xfId="0" builtinId="0"/>
  </cellStyles>
  <dxfs count="12">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 Sales July-2018.xlsx]charts!PivotTable5</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Total quantity</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charts!$B$6</c:f>
              <c:strCache>
                <c:ptCount val="1"/>
                <c:pt idx="0">
                  <c:v>Total</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charts!$A$7:$A$12</c:f>
              <c:strCache>
                <c:ptCount val="5"/>
                <c:pt idx="0">
                  <c:v>Diary</c:v>
                </c:pt>
                <c:pt idx="1">
                  <c:v>Office Chair</c:v>
                </c:pt>
                <c:pt idx="2">
                  <c:v>Printer</c:v>
                </c:pt>
                <c:pt idx="3">
                  <c:v>Projector</c:v>
                </c:pt>
                <c:pt idx="4">
                  <c:v>White Board</c:v>
                </c:pt>
              </c:strCache>
            </c:strRef>
          </c:cat>
          <c:val>
            <c:numRef>
              <c:f>charts!$B$7:$B$12</c:f>
              <c:numCache>
                <c:formatCode>General</c:formatCode>
                <c:ptCount val="5"/>
                <c:pt idx="0">
                  <c:v>3071</c:v>
                </c:pt>
                <c:pt idx="1">
                  <c:v>2648</c:v>
                </c:pt>
                <c:pt idx="2">
                  <c:v>3823</c:v>
                </c:pt>
                <c:pt idx="3">
                  <c:v>3067</c:v>
                </c:pt>
                <c:pt idx="4">
                  <c:v>4027</c:v>
                </c:pt>
              </c:numCache>
            </c:numRef>
          </c:val>
          <c:extLst>
            <c:ext xmlns:c16="http://schemas.microsoft.com/office/drawing/2014/chart" uri="{C3380CC4-5D6E-409C-BE32-E72D297353CC}">
              <c16:uniqueId val="{00000000-DFC1-4AB6-9587-DBC7D8BE5C39}"/>
            </c:ext>
          </c:extLst>
        </c:ser>
        <c:dLbls>
          <c:showLegendKey val="0"/>
          <c:showVal val="1"/>
          <c:showCatName val="0"/>
          <c:showSerName val="0"/>
          <c:showPercent val="0"/>
          <c:showBubbleSize val="0"/>
        </c:dLbls>
        <c:gapWidth val="160"/>
        <c:gapDepth val="0"/>
        <c:shape val="box"/>
        <c:axId val="379292352"/>
        <c:axId val="379292832"/>
        <c:axId val="0"/>
      </c:bar3DChart>
      <c:catAx>
        <c:axId val="379292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292832"/>
        <c:crosses val="autoZero"/>
        <c:auto val="1"/>
        <c:lblAlgn val="ctr"/>
        <c:lblOffset val="100"/>
        <c:noMultiLvlLbl val="0"/>
      </c:catAx>
      <c:valAx>
        <c:axId val="3792928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292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project Sales July-2018.xlsx]charts!PivotTable6</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charts!$B$19</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charts!$A$20:$A$25</c:f>
              <c:strCache>
                <c:ptCount val="5"/>
                <c:pt idx="0">
                  <c:v>Bob</c:v>
                </c:pt>
                <c:pt idx="1">
                  <c:v>John</c:v>
                </c:pt>
                <c:pt idx="2">
                  <c:v>Laura</c:v>
                </c:pt>
                <c:pt idx="3">
                  <c:v>Mark</c:v>
                </c:pt>
                <c:pt idx="4">
                  <c:v>Stacey</c:v>
                </c:pt>
              </c:strCache>
            </c:strRef>
          </c:cat>
          <c:val>
            <c:numRef>
              <c:f>charts!$B$20:$B$25</c:f>
              <c:numCache>
                <c:formatCode>General</c:formatCode>
                <c:ptCount val="5"/>
                <c:pt idx="0">
                  <c:v>306530</c:v>
                </c:pt>
                <c:pt idx="1">
                  <c:v>320220</c:v>
                </c:pt>
                <c:pt idx="2">
                  <c:v>307656</c:v>
                </c:pt>
                <c:pt idx="3">
                  <c:v>321258</c:v>
                </c:pt>
                <c:pt idx="4">
                  <c:v>329482</c:v>
                </c:pt>
              </c:numCache>
            </c:numRef>
          </c:val>
          <c:extLst>
            <c:ext xmlns:c16="http://schemas.microsoft.com/office/drawing/2014/chart" uri="{C3380CC4-5D6E-409C-BE32-E72D297353CC}">
              <c16:uniqueId val="{00000000-6E26-4D5F-B80C-227695AB8B31}"/>
            </c:ext>
          </c:extLst>
        </c:ser>
        <c:dLbls>
          <c:dLblPos val="ctr"/>
          <c:showLegendKey val="0"/>
          <c:showVal val="1"/>
          <c:showCatName val="0"/>
          <c:showSerName val="0"/>
          <c:showPercent val="0"/>
          <c:showBubbleSize val="0"/>
        </c:dLbls>
        <c:gapWidth val="150"/>
        <c:overlap val="100"/>
        <c:axId val="480420384"/>
        <c:axId val="480418944"/>
      </c:barChart>
      <c:catAx>
        <c:axId val="48042038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0418944"/>
        <c:crosses val="autoZero"/>
        <c:auto val="1"/>
        <c:lblAlgn val="ctr"/>
        <c:lblOffset val="100"/>
        <c:noMultiLvlLbl val="0"/>
      </c:catAx>
      <c:valAx>
        <c:axId val="48041894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0420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Sales July-2018.xlsx]charts!PivotTable7</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commission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charts!$B$32</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charts!$A$33:$A$38</c:f>
              <c:strCache>
                <c:ptCount val="5"/>
                <c:pt idx="0">
                  <c:v>Bob</c:v>
                </c:pt>
                <c:pt idx="1">
                  <c:v>John</c:v>
                </c:pt>
                <c:pt idx="2">
                  <c:v>Laura</c:v>
                </c:pt>
                <c:pt idx="3">
                  <c:v>Mark</c:v>
                </c:pt>
                <c:pt idx="4">
                  <c:v>Stacey</c:v>
                </c:pt>
              </c:strCache>
            </c:strRef>
          </c:cat>
          <c:val>
            <c:numRef>
              <c:f>charts!$B$33:$B$38</c:f>
              <c:numCache>
                <c:formatCode>General</c:formatCode>
                <c:ptCount val="5"/>
                <c:pt idx="0">
                  <c:v>23576.700000000012</c:v>
                </c:pt>
                <c:pt idx="1">
                  <c:v>17874.340000000018</c:v>
                </c:pt>
                <c:pt idx="2">
                  <c:v>17621.360000000004</c:v>
                </c:pt>
                <c:pt idx="3">
                  <c:v>21012.360000000004</c:v>
                </c:pt>
                <c:pt idx="4">
                  <c:v>20075.480000000003</c:v>
                </c:pt>
              </c:numCache>
            </c:numRef>
          </c:val>
          <c:extLst>
            <c:ext xmlns:c16="http://schemas.microsoft.com/office/drawing/2014/chart" uri="{C3380CC4-5D6E-409C-BE32-E72D297353CC}">
              <c16:uniqueId val="{00000000-9628-4E81-B98D-7FF31AAB2891}"/>
            </c:ext>
          </c:extLst>
        </c:ser>
        <c:dLbls>
          <c:showLegendKey val="0"/>
          <c:showVal val="1"/>
          <c:showCatName val="0"/>
          <c:showSerName val="0"/>
          <c:showPercent val="0"/>
          <c:showBubbleSize val="0"/>
        </c:dLbls>
        <c:gapWidth val="65"/>
        <c:shape val="box"/>
        <c:axId val="370650592"/>
        <c:axId val="370651552"/>
        <c:axId val="669009152"/>
      </c:bar3DChart>
      <c:catAx>
        <c:axId val="37065059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70651552"/>
        <c:crosses val="autoZero"/>
        <c:auto val="1"/>
        <c:lblAlgn val="ctr"/>
        <c:lblOffset val="100"/>
        <c:noMultiLvlLbl val="0"/>
      </c:catAx>
      <c:valAx>
        <c:axId val="37065155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70650592"/>
        <c:crosses val="autoZero"/>
        <c:crossBetween val="between"/>
      </c:valAx>
      <c:serAx>
        <c:axId val="66900915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70651552"/>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 Sales July-2018.xlsx]charts!PivotTable9</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orders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charts!$B$65</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charts!$A$66:$A$97</c:f>
              <c:strCache>
                <c:ptCount val="31"/>
                <c:pt idx="0">
                  <c:v>01-07-2018</c:v>
                </c:pt>
                <c:pt idx="1">
                  <c:v>02-07-2018</c:v>
                </c:pt>
                <c:pt idx="2">
                  <c:v>03-07-2018</c:v>
                </c:pt>
                <c:pt idx="3">
                  <c:v>04-07-2018</c:v>
                </c:pt>
                <c:pt idx="4">
                  <c:v>05-07-2018</c:v>
                </c:pt>
                <c:pt idx="5">
                  <c:v>06-07-2018</c:v>
                </c:pt>
                <c:pt idx="6">
                  <c:v>07-07-2018</c:v>
                </c:pt>
                <c:pt idx="7">
                  <c:v>08-07-2018</c:v>
                </c:pt>
                <c:pt idx="8">
                  <c:v>09-07-2018</c:v>
                </c:pt>
                <c:pt idx="9">
                  <c:v>10-07-2018</c:v>
                </c:pt>
                <c:pt idx="10">
                  <c:v>11-07-2018</c:v>
                </c:pt>
                <c:pt idx="11">
                  <c:v>12-07-2018</c:v>
                </c:pt>
                <c:pt idx="12">
                  <c:v>13-07-2018</c:v>
                </c:pt>
                <c:pt idx="13">
                  <c:v>14-07-2018</c:v>
                </c:pt>
                <c:pt idx="14">
                  <c:v>15-07-2018</c:v>
                </c:pt>
                <c:pt idx="15">
                  <c:v>16-07-2018</c:v>
                </c:pt>
                <c:pt idx="16">
                  <c:v>17-07-2018</c:v>
                </c:pt>
                <c:pt idx="17">
                  <c:v>18-07-2018</c:v>
                </c:pt>
                <c:pt idx="18">
                  <c:v>19-07-2018</c:v>
                </c:pt>
                <c:pt idx="19">
                  <c:v>20-07-2018</c:v>
                </c:pt>
                <c:pt idx="20">
                  <c:v>21-07-2018</c:v>
                </c:pt>
                <c:pt idx="21">
                  <c:v>22-07-2018</c:v>
                </c:pt>
                <c:pt idx="22">
                  <c:v>23-07-2018</c:v>
                </c:pt>
                <c:pt idx="23">
                  <c:v>24-07-2018</c:v>
                </c:pt>
                <c:pt idx="24">
                  <c:v>25-07-2018</c:v>
                </c:pt>
                <c:pt idx="25">
                  <c:v>26-07-2018</c:v>
                </c:pt>
                <c:pt idx="26">
                  <c:v>27-07-2018</c:v>
                </c:pt>
                <c:pt idx="27">
                  <c:v>28-07-2018</c:v>
                </c:pt>
                <c:pt idx="28">
                  <c:v>29-07-2018</c:v>
                </c:pt>
                <c:pt idx="29">
                  <c:v>30-07-2018</c:v>
                </c:pt>
                <c:pt idx="30">
                  <c:v>31-07-2018</c:v>
                </c:pt>
              </c:strCache>
            </c:strRef>
          </c:cat>
          <c:val>
            <c:numRef>
              <c:f>charts!$B$66:$B$97</c:f>
              <c:numCache>
                <c:formatCode>General</c:formatCode>
                <c:ptCount val="31"/>
                <c:pt idx="0">
                  <c:v>39</c:v>
                </c:pt>
                <c:pt idx="1">
                  <c:v>33</c:v>
                </c:pt>
                <c:pt idx="2">
                  <c:v>36</c:v>
                </c:pt>
                <c:pt idx="3">
                  <c:v>35</c:v>
                </c:pt>
                <c:pt idx="4">
                  <c:v>42</c:v>
                </c:pt>
                <c:pt idx="5">
                  <c:v>47</c:v>
                </c:pt>
                <c:pt idx="6">
                  <c:v>53</c:v>
                </c:pt>
                <c:pt idx="7">
                  <c:v>50</c:v>
                </c:pt>
                <c:pt idx="8">
                  <c:v>38</c:v>
                </c:pt>
                <c:pt idx="9">
                  <c:v>50</c:v>
                </c:pt>
                <c:pt idx="10">
                  <c:v>43</c:v>
                </c:pt>
                <c:pt idx="11">
                  <c:v>30</c:v>
                </c:pt>
                <c:pt idx="12">
                  <c:v>48</c:v>
                </c:pt>
                <c:pt idx="13">
                  <c:v>46</c:v>
                </c:pt>
                <c:pt idx="14">
                  <c:v>45</c:v>
                </c:pt>
                <c:pt idx="15">
                  <c:v>48</c:v>
                </c:pt>
                <c:pt idx="16">
                  <c:v>48</c:v>
                </c:pt>
                <c:pt idx="17">
                  <c:v>41</c:v>
                </c:pt>
                <c:pt idx="18">
                  <c:v>44</c:v>
                </c:pt>
                <c:pt idx="19">
                  <c:v>34</c:v>
                </c:pt>
                <c:pt idx="20">
                  <c:v>47</c:v>
                </c:pt>
                <c:pt idx="21">
                  <c:v>38</c:v>
                </c:pt>
                <c:pt idx="22">
                  <c:v>39</c:v>
                </c:pt>
                <c:pt idx="23">
                  <c:v>46</c:v>
                </c:pt>
                <c:pt idx="24">
                  <c:v>49</c:v>
                </c:pt>
                <c:pt idx="25">
                  <c:v>47</c:v>
                </c:pt>
                <c:pt idx="26">
                  <c:v>52</c:v>
                </c:pt>
                <c:pt idx="27">
                  <c:v>37</c:v>
                </c:pt>
                <c:pt idx="28">
                  <c:v>42</c:v>
                </c:pt>
                <c:pt idx="29">
                  <c:v>28</c:v>
                </c:pt>
                <c:pt idx="30">
                  <c:v>25</c:v>
                </c:pt>
              </c:numCache>
            </c:numRef>
          </c:val>
          <c:smooth val="0"/>
          <c:extLst>
            <c:ext xmlns:c16="http://schemas.microsoft.com/office/drawing/2014/chart" uri="{C3380CC4-5D6E-409C-BE32-E72D297353CC}">
              <c16:uniqueId val="{00000000-E6EF-4C13-B5F2-6F775B8DD48E}"/>
            </c:ext>
          </c:extLst>
        </c:ser>
        <c:dLbls>
          <c:showLegendKey val="0"/>
          <c:showVal val="0"/>
          <c:showCatName val="0"/>
          <c:showSerName val="0"/>
          <c:showPercent val="0"/>
          <c:showBubbleSize val="0"/>
        </c:dLbls>
        <c:marker val="1"/>
        <c:smooth val="0"/>
        <c:axId val="340685248"/>
        <c:axId val="340679968"/>
      </c:lineChart>
      <c:catAx>
        <c:axId val="34068524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40679968"/>
        <c:crosses val="autoZero"/>
        <c:auto val="1"/>
        <c:lblAlgn val="ctr"/>
        <c:lblOffset val="100"/>
        <c:noMultiLvlLbl val="0"/>
      </c:catAx>
      <c:valAx>
        <c:axId val="3406799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40685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 Sales July-2018.xlsx]charts!PivotTable5</c:name>
    <c:fmtId val="11"/>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Total</a:t>
            </a:r>
            <a:r>
              <a:rPr lang="en-US" baseline="0"/>
              <a:t> Quantity</a:t>
            </a: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charts!$B$6</c:f>
              <c:strCache>
                <c:ptCount val="1"/>
                <c:pt idx="0">
                  <c:v>Total</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charts!$A$7:$A$12</c:f>
              <c:strCache>
                <c:ptCount val="5"/>
                <c:pt idx="0">
                  <c:v>Diary</c:v>
                </c:pt>
                <c:pt idx="1">
                  <c:v>Office Chair</c:v>
                </c:pt>
                <c:pt idx="2">
                  <c:v>Printer</c:v>
                </c:pt>
                <c:pt idx="3">
                  <c:v>Projector</c:v>
                </c:pt>
                <c:pt idx="4">
                  <c:v>White Board</c:v>
                </c:pt>
              </c:strCache>
            </c:strRef>
          </c:cat>
          <c:val>
            <c:numRef>
              <c:f>charts!$B$7:$B$12</c:f>
              <c:numCache>
                <c:formatCode>General</c:formatCode>
                <c:ptCount val="5"/>
                <c:pt idx="0">
                  <c:v>3071</c:v>
                </c:pt>
                <c:pt idx="1">
                  <c:v>2648</c:v>
                </c:pt>
                <c:pt idx="2">
                  <c:v>3823</c:v>
                </c:pt>
                <c:pt idx="3">
                  <c:v>3067</c:v>
                </c:pt>
                <c:pt idx="4">
                  <c:v>4027</c:v>
                </c:pt>
              </c:numCache>
            </c:numRef>
          </c:val>
          <c:extLst>
            <c:ext xmlns:c16="http://schemas.microsoft.com/office/drawing/2014/chart" uri="{C3380CC4-5D6E-409C-BE32-E72D297353CC}">
              <c16:uniqueId val="{00000000-DFDE-4898-972C-21E9D5FAF5C2}"/>
            </c:ext>
          </c:extLst>
        </c:ser>
        <c:dLbls>
          <c:showLegendKey val="0"/>
          <c:showVal val="1"/>
          <c:showCatName val="0"/>
          <c:showSerName val="0"/>
          <c:showPercent val="0"/>
          <c:showBubbleSize val="0"/>
        </c:dLbls>
        <c:gapWidth val="160"/>
        <c:gapDepth val="0"/>
        <c:shape val="box"/>
        <c:axId val="379292352"/>
        <c:axId val="379292832"/>
        <c:axId val="0"/>
      </c:bar3DChart>
      <c:catAx>
        <c:axId val="379292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292832"/>
        <c:crosses val="autoZero"/>
        <c:auto val="1"/>
        <c:lblAlgn val="ctr"/>
        <c:lblOffset val="100"/>
        <c:noMultiLvlLbl val="0"/>
      </c:catAx>
      <c:valAx>
        <c:axId val="3792928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292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project Sales July-2018.xlsx]charts!PivotTable6</c:name>
    <c:fmtId val="15"/>
  </c:pivotSource>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Total sales</a:t>
            </a:r>
          </a:p>
        </c:rich>
      </c:tx>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charts!$B$19</c:f>
              <c:strCache>
                <c:ptCount val="1"/>
                <c:pt idx="0">
                  <c:v>Total</c:v>
                </c:pt>
              </c:strCache>
            </c:strRef>
          </c:tx>
          <c:spPr>
            <a:solidFill>
              <a:srgbClr val="C00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charts!$A$20:$A$25</c:f>
              <c:strCache>
                <c:ptCount val="5"/>
                <c:pt idx="0">
                  <c:v>Bob</c:v>
                </c:pt>
                <c:pt idx="1">
                  <c:v>John</c:v>
                </c:pt>
                <c:pt idx="2">
                  <c:v>Laura</c:v>
                </c:pt>
                <c:pt idx="3">
                  <c:v>Mark</c:v>
                </c:pt>
                <c:pt idx="4">
                  <c:v>Stacey</c:v>
                </c:pt>
              </c:strCache>
            </c:strRef>
          </c:cat>
          <c:val>
            <c:numRef>
              <c:f>charts!$B$20:$B$25</c:f>
              <c:numCache>
                <c:formatCode>General</c:formatCode>
                <c:ptCount val="5"/>
                <c:pt idx="0">
                  <c:v>306530</c:v>
                </c:pt>
                <c:pt idx="1">
                  <c:v>320220</c:v>
                </c:pt>
                <c:pt idx="2">
                  <c:v>307656</c:v>
                </c:pt>
                <c:pt idx="3">
                  <c:v>321258</c:v>
                </c:pt>
                <c:pt idx="4">
                  <c:v>329482</c:v>
                </c:pt>
              </c:numCache>
            </c:numRef>
          </c:val>
          <c:extLst>
            <c:ext xmlns:c16="http://schemas.microsoft.com/office/drawing/2014/chart" uri="{C3380CC4-5D6E-409C-BE32-E72D297353CC}">
              <c16:uniqueId val="{00000000-058C-4F8A-96AD-AAB5DB228987}"/>
            </c:ext>
          </c:extLst>
        </c:ser>
        <c:dLbls>
          <c:dLblPos val="ctr"/>
          <c:showLegendKey val="0"/>
          <c:showVal val="1"/>
          <c:showCatName val="0"/>
          <c:showSerName val="0"/>
          <c:showPercent val="0"/>
          <c:showBubbleSize val="0"/>
        </c:dLbls>
        <c:gapWidth val="150"/>
        <c:overlap val="100"/>
        <c:axId val="480420384"/>
        <c:axId val="480418944"/>
      </c:barChart>
      <c:catAx>
        <c:axId val="48042038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0418944"/>
        <c:crosses val="autoZero"/>
        <c:auto val="1"/>
        <c:lblAlgn val="ctr"/>
        <c:lblOffset val="100"/>
        <c:noMultiLvlLbl val="0"/>
      </c:catAx>
      <c:valAx>
        <c:axId val="48041894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0420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Sales July-2018.xlsx]charts!PivotTable7</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commission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w="9525" cap="flat" cmpd="sng" algn="ctr">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charts!$B$32</c:f>
              <c:strCache>
                <c:ptCount val="1"/>
                <c:pt idx="0">
                  <c:v>Total</c:v>
                </c:pt>
              </c:strCache>
            </c:strRef>
          </c:tx>
          <c:spPr>
            <a:solidFill>
              <a:srgbClr val="92D050"/>
            </a:solidFill>
            <a:ln w="9525" cap="flat" cmpd="sng" algn="ctr">
              <a:solidFill>
                <a:schemeClr val="accent1">
                  <a:lumMod val="7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charts!$A$33:$A$38</c:f>
              <c:strCache>
                <c:ptCount val="5"/>
                <c:pt idx="0">
                  <c:v>Bob</c:v>
                </c:pt>
                <c:pt idx="1">
                  <c:v>John</c:v>
                </c:pt>
                <c:pt idx="2">
                  <c:v>Laura</c:v>
                </c:pt>
                <c:pt idx="3">
                  <c:v>Mark</c:v>
                </c:pt>
                <c:pt idx="4">
                  <c:v>Stacey</c:v>
                </c:pt>
              </c:strCache>
            </c:strRef>
          </c:cat>
          <c:val>
            <c:numRef>
              <c:f>charts!$B$33:$B$38</c:f>
              <c:numCache>
                <c:formatCode>General</c:formatCode>
                <c:ptCount val="5"/>
                <c:pt idx="0">
                  <c:v>23576.700000000012</c:v>
                </c:pt>
                <c:pt idx="1">
                  <c:v>17874.340000000018</c:v>
                </c:pt>
                <c:pt idx="2">
                  <c:v>17621.360000000004</c:v>
                </c:pt>
                <c:pt idx="3">
                  <c:v>21012.360000000004</c:v>
                </c:pt>
                <c:pt idx="4">
                  <c:v>20075.480000000003</c:v>
                </c:pt>
              </c:numCache>
            </c:numRef>
          </c:val>
          <c:extLst>
            <c:ext xmlns:c16="http://schemas.microsoft.com/office/drawing/2014/chart" uri="{C3380CC4-5D6E-409C-BE32-E72D297353CC}">
              <c16:uniqueId val="{00000000-F5EC-48D2-96D6-63E5FCD717AE}"/>
            </c:ext>
          </c:extLst>
        </c:ser>
        <c:dLbls>
          <c:showLegendKey val="0"/>
          <c:showVal val="1"/>
          <c:showCatName val="0"/>
          <c:showSerName val="0"/>
          <c:showPercent val="0"/>
          <c:showBubbleSize val="0"/>
        </c:dLbls>
        <c:gapWidth val="65"/>
        <c:overlap val="100"/>
        <c:axId val="370650592"/>
        <c:axId val="370651552"/>
      </c:barChart>
      <c:catAx>
        <c:axId val="37065059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70651552"/>
        <c:crosses val="autoZero"/>
        <c:auto val="1"/>
        <c:lblAlgn val="ctr"/>
        <c:lblOffset val="100"/>
        <c:noMultiLvlLbl val="0"/>
      </c:catAx>
      <c:valAx>
        <c:axId val="37065155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70650592"/>
        <c:crosses val="autoZero"/>
        <c:crossBetween val="between"/>
      </c:valAx>
      <c:spPr>
        <a:solidFill>
          <a:schemeClr val="accent2">
            <a:lumMod val="60000"/>
            <a:lumOff val="4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 Sales July-2018.xlsx]charts!PivotTable9</c:name>
    <c:fmtId val="1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800">
                <a:solidFill>
                  <a:schemeClr val="bg2">
                    <a:lumMod val="10000"/>
                  </a:schemeClr>
                </a:solidFill>
              </a:rPr>
              <a:t>Total orders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6"/>
            </a:solidFill>
          </a:ln>
          <a:effectLst>
            <a:glow rad="139700">
              <a:schemeClr val="accent6">
                <a:satMod val="175000"/>
                <a:alpha val="14000"/>
              </a:schemeClr>
            </a:glow>
          </a:effectLst>
        </c:spPr>
        <c:marker>
          <c:symbol val="circle"/>
          <c:size val="4"/>
          <c:spPr>
            <a:solidFill>
              <a:schemeClr val="tx1">
                <a:lumMod val="95000"/>
                <a:lumOff val="5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7808260360631"/>
          <c:y val="0.18774468085106386"/>
          <c:w val="0.83800405534198563"/>
          <c:h val="0.50818562573295356"/>
        </c:manualLayout>
      </c:layout>
      <c:lineChart>
        <c:grouping val="standard"/>
        <c:varyColors val="0"/>
        <c:ser>
          <c:idx val="0"/>
          <c:order val="0"/>
          <c:tx>
            <c:strRef>
              <c:f>charts!$B$65</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tx1">
                  <a:lumMod val="95000"/>
                  <a:lumOff val="5000"/>
                </a:schemeClr>
              </a:solidFill>
              <a:ln>
                <a:noFill/>
              </a:ln>
              <a:effectLst>
                <a:glow rad="63500">
                  <a:schemeClr val="accent6">
                    <a:satMod val="175000"/>
                    <a:alpha val="25000"/>
                  </a:schemeClr>
                </a:glow>
              </a:effectLst>
            </c:spPr>
          </c:marker>
          <c:cat>
            <c:strRef>
              <c:f>charts!$A$66:$A$97</c:f>
              <c:strCache>
                <c:ptCount val="31"/>
                <c:pt idx="0">
                  <c:v>01-07-2018</c:v>
                </c:pt>
                <c:pt idx="1">
                  <c:v>02-07-2018</c:v>
                </c:pt>
                <c:pt idx="2">
                  <c:v>03-07-2018</c:v>
                </c:pt>
                <c:pt idx="3">
                  <c:v>04-07-2018</c:v>
                </c:pt>
                <c:pt idx="4">
                  <c:v>05-07-2018</c:v>
                </c:pt>
                <c:pt idx="5">
                  <c:v>06-07-2018</c:v>
                </c:pt>
                <c:pt idx="6">
                  <c:v>07-07-2018</c:v>
                </c:pt>
                <c:pt idx="7">
                  <c:v>08-07-2018</c:v>
                </c:pt>
                <c:pt idx="8">
                  <c:v>09-07-2018</c:v>
                </c:pt>
                <c:pt idx="9">
                  <c:v>10-07-2018</c:v>
                </c:pt>
                <c:pt idx="10">
                  <c:v>11-07-2018</c:v>
                </c:pt>
                <c:pt idx="11">
                  <c:v>12-07-2018</c:v>
                </c:pt>
                <c:pt idx="12">
                  <c:v>13-07-2018</c:v>
                </c:pt>
                <c:pt idx="13">
                  <c:v>14-07-2018</c:v>
                </c:pt>
                <c:pt idx="14">
                  <c:v>15-07-2018</c:v>
                </c:pt>
                <c:pt idx="15">
                  <c:v>16-07-2018</c:v>
                </c:pt>
                <c:pt idx="16">
                  <c:v>17-07-2018</c:v>
                </c:pt>
                <c:pt idx="17">
                  <c:v>18-07-2018</c:v>
                </c:pt>
                <c:pt idx="18">
                  <c:v>19-07-2018</c:v>
                </c:pt>
                <c:pt idx="19">
                  <c:v>20-07-2018</c:v>
                </c:pt>
                <c:pt idx="20">
                  <c:v>21-07-2018</c:v>
                </c:pt>
                <c:pt idx="21">
                  <c:v>22-07-2018</c:v>
                </c:pt>
                <c:pt idx="22">
                  <c:v>23-07-2018</c:v>
                </c:pt>
                <c:pt idx="23">
                  <c:v>24-07-2018</c:v>
                </c:pt>
                <c:pt idx="24">
                  <c:v>25-07-2018</c:v>
                </c:pt>
                <c:pt idx="25">
                  <c:v>26-07-2018</c:v>
                </c:pt>
                <c:pt idx="26">
                  <c:v>27-07-2018</c:v>
                </c:pt>
                <c:pt idx="27">
                  <c:v>28-07-2018</c:v>
                </c:pt>
                <c:pt idx="28">
                  <c:v>29-07-2018</c:v>
                </c:pt>
                <c:pt idx="29">
                  <c:v>30-07-2018</c:v>
                </c:pt>
                <c:pt idx="30">
                  <c:v>31-07-2018</c:v>
                </c:pt>
              </c:strCache>
            </c:strRef>
          </c:cat>
          <c:val>
            <c:numRef>
              <c:f>charts!$B$66:$B$97</c:f>
              <c:numCache>
                <c:formatCode>General</c:formatCode>
                <c:ptCount val="31"/>
                <c:pt idx="0">
                  <c:v>39</c:v>
                </c:pt>
                <c:pt idx="1">
                  <c:v>33</c:v>
                </c:pt>
                <c:pt idx="2">
                  <c:v>36</c:v>
                </c:pt>
                <c:pt idx="3">
                  <c:v>35</c:v>
                </c:pt>
                <c:pt idx="4">
                  <c:v>42</c:v>
                </c:pt>
                <c:pt idx="5">
                  <c:v>47</c:v>
                </c:pt>
                <c:pt idx="6">
                  <c:v>53</c:v>
                </c:pt>
                <c:pt idx="7">
                  <c:v>50</c:v>
                </c:pt>
                <c:pt idx="8">
                  <c:v>38</c:v>
                </c:pt>
                <c:pt idx="9">
                  <c:v>50</c:v>
                </c:pt>
                <c:pt idx="10">
                  <c:v>43</c:v>
                </c:pt>
                <c:pt idx="11">
                  <c:v>30</c:v>
                </c:pt>
                <c:pt idx="12">
                  <c:v>48</c:v>
                </c:pt>
                <c:pt idx="13">
                  <c:v>46</c:v>
                </c:pt>
                <c:pt idx="14">
                  <c:v>45</c:v>
                </c:pt>
                <c:pt idx="15">
                  <c:v>48</c:v>
                </c:pt>
                <c:pt idx="16">
                  <c:v>48</c:v>
                </c:pt>
                <c:pt idx="17">
                  <c:v>41</c:v>
                </c:pt>
                <c:pt idx="18">
                  <c:v>44</c:v>
                </c:pt>
                <c:pt idx="19">
                  <c:v>34</c:v>
                </c:pt>
                <c:pt idx="20">
                  <c:v>47</c:v>
                </c:pt>
                <c:pt idx="21">
                  <c:v>38</c:v>
                </c:pt>
                <c:pt idx="22">
                  <c:v>39</c:v>
                </c:pt>
                <c:pt idx="23">
                  <c:v>46</c:v>
                </c:pt>
                <c:pt idx="24">
                  <c:v>49</c:v>
                </c:pt>
                <c:pt idx="25">
                  <c:v>47</c:v>
                </c:pt>
                <c:pt idx="26">
                  <c:v>52</c:v>
                </c:pt>
                <c:pt idx="27">
                  <c:v>37</c:v>
                </c:pt>
                <c:pt idx="28">
                  <c:v>42</c:v>
                </c:pt>
                <c:pt idx="29">
                  <c:v>28</c:v>
                </c:pt>
                <c:pt idx="30">
                  <c:v>25</c:v>
                </c:pt>
              </c:numCache>
            </c:numRef>
          </c:val>
          <c:smooth val="0"/>
          <c:extLst>
            <c:ext xmlns:c16="http://schemas.microsoft.com/office/drawing/2014/chart" uri="{C3380CC4-5D6E-409C-BE32-E72D297353CC}">
              <c16:uniqueId val="{00000000-5F78-4799-8E30-2E4B6893C514}"/>
            </c:ext>
          </c:extLst>
        </c:ser>
        <c:dLbls>
          <c:showLegendKey val="0"/>
          <c:showVal val="0"/>
          <c:showCatName val="0"/>
          <c:showSerName val="0"/>
          <c:showPercent val="0"/>
          <c:showBubbleSize val="0"/>
        </c:dLbls>
        <c:marker val="1"/>
        <c:smooth val="0"/>
        <c:axId val="340685248"/>
        <c:axId val="340679968"/>
      </c:lineChart>
      <c:catAx>
        <c:axId val="34068524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340679968"/>
        <c:crosses val="autoZero"/>
        <c:auto val="1"/>
        <c:lblAlgn val="ctr"/>
        <c:lblOffset val="100"/>
        <c:noMultiLvlLbl val="0"/>
      </c:catAx>
      <c:valAx>
        <c:axId val="3406799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340685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strDim type="colorStr">
        <cx:f>_xlchart.v5.2</cx:f>
      </cx:strDim>
    </cx:data>
  </cx:chartData>
  <cx:chart>
    <cx:title pos="t" align="ctr" overlay="0">
      <cx:tx>
        <cx:txData>
          <cx:v>Total order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Total order by state</a:t>
          </a:r>
        </a:p>
      </cx:txPr>
    </cx:title>
    <cx:plotArea>
      <cx:plotAreaRegion>
        <cx:series layoutId="regionMap" uniqueId="{37C44DBB-0AC6-400E-8672-4CDFB0952067}">
          <cx:dataId val="0"/>
          <cx:layoutPr>
            <cx:geography cultureLanguage="en-US" cultureRegion="IN" attribution="Powered by Bing">
              <cx:geoCache provider="{E9337A44-BEBE-4D9F-B70C-5C5E7DAFC167}">
                <cx:binary>1Htpb9y4tu1fCfL5ys1Z5MHpA1xKqsFD2bGd2M4XwfEgUQMlUdT46+92hr6JT/p0X6Af8NoJHFSx
KO3intZaW/nnw/yPh+rp3r2Z68r2/3iYf32be9/+45df+of8qb7vj2rz4Jq+efZHD039S/P8bB6e
fnl095Ox2S8EYfbLQ37v/NP89l//hKtlT81p83DvTWPfDU9uuXzqh8r3/2Htp0tv7h9rY2PTe2ce
PP71rTZwl7dvnqw3frle2qdf3/7wkbdvfnl9oX+76ZsK7PLDI+wl/EiESnLMKfr8g9++qRqbfV2W
sIyUEEyRb/c83New7w/N+GzE/eOje+p7+BKf//1t2w8Ww7uXb988NIP1L8eUwYn9+nZvH8392zem
b6IvC1HzYu7+8Pn7/fLjAf/rn6/egG/86p3vfPD6eP5o6d9csG3Asr/KAZgfUUEJVUSqLz8/OCBk
R4gToQQhX1b5t1t/8cMf2PJzL3ze9MoH2//+W/kgfqpy8+0o/oI0kEeCUaqQED9LgzA8wpizEPLk
ixfEt1t/8cIfWvNzP3zd9soT8enfyhPbobh39/7bgfwFviBHQhEhMFE/pgI+4ipEVEI6fMuUL1n4
NRX+2JCfu+G3b/DKEdvjv5Ujdvduubd/YWki6ggriRWDmvNdTwjFEWWIMMTkl1x5lQx/wo6f++G3
ja/8sPt7tYdjaNBlfm8f/8KUoEeCvySEpF8iX/7gEejSXDBMifjaQ9i3W3/JjD9l0c998t3WV145
3v2tsuPk3tl7f1/+hfmB2VGIESOMkZ82DXGEAVsBsvrqNPqjV/6URT/3yndbX3nl5O/Vxk+e3H31
V7oEHTGmZBiGkAI/1iyGoHEw/LW/v4Kzf2zH7zjiq/2vvfD3auFnT1kOblj+QkcAr+CUQ00Kvwb/
j71c4SMShkKG6Oe9/E9Z9HOXfLf1lVfO/mZeuYdGct/n3v2FfsHqiHGCJOXq92oWkooS9hVivaIb
Z3/Opt/xzPebX/vm79VN3nsPWsGFu3986vNvZf0vgL7iSBEKnR5/cQ7CP1QxiaDPC8rJNxjwqqP8
aat+7p9X21956P3F36rf3zz1/o1+stl99Rf6hx5JKGocheGPjgmPVAi0hH0rdq/S5k8a83O3/LD5
lVNu9P/XTvm5qPO9dPLDJ/6v2hU5glzgiMiv+Aua+vc9X70oKwIYI/+STeCz7/niV4np9635uTu+
bvvB8P/HetXva1m/SXsxYNvksyb4nZz1n1c/fz2QKV9t/U/K1pez2j/++jZk0ECExIRAOkDJwgRK
1W/K48slfzjr+B6U0jfAid4c7jOonLv78akyb/4b3ojv63v7eSk2wzcP/e4tnu57D3enR4SE0KQw
45CMYMbbNxMkPKygIxlCgvIQkAdiQgJTso3zOUid6ChkFEgULIDZoGu+fdM3w9clxBionBi+zssl
5W8i7kVTLVljfzvKr6/f2KG+aIz1/a9vMYV0b7987qvhUlIgBZhiwQgHfRXWH+4vQSl++fh/dWkx
FZlYWZJO74elOVPXeJNtcho5o00aySIyfIP6S/rezloN0Vq87zuzMfVNOvvYpEEkRxahsv6o0jEu
811e93oINqF027GVOu3rfS4/LTOL8zYr9GBuhukjMT4JFic0Wq9oG+iJLOc0dxsaHLfy2c1RtUvF
9UgO2WNuK2356eJLbaezxg1RKp5rK6LSEZ0H2mCx54WvtUL4MNY2XqYgqvJlW4uy0GIeopkVGx5s
kSjcpsA+i5qhOsz5R6tWLez0CSn7vvfoXd2teWyyUGpOlzbpwyJi9sFX50KOXg9j6TUuek2zSVd5
p92ip5Bc4KK4yqp1T6nboIXsAlYfl0hUkahP6YyLqG/b835wpe4yFw9BkIgCXVS40nNbFDqgzRMf
mI1sx+5QEWzBTcnYZEmjMl2k04b15WZhS+T8HBfCxVXZn1HjL7ygB5zShzIUF3MDtk7LwnWLyYfZ
LO+bYN2QWiUZY4UuJMM6F2GtxQhXzXJzkdXtoDvV95pJc+j6KSrms+/S5mexhaHH/xhbkHcoRCjE
OGShEK9iqxxRP5smUMm81u+dD5qIsf5iHvkun0QC2K+Lq1Ac+9Juq/ac1/OWY3biaznEC6KjrvvR
6jRVe2GqXRmgjRmmjSvKVA8pvaBjs5lnfkUZd7oo+rij5qSzJ2hgW9faE7xscCATu7S6Nes7XuU7
GU6Jw+rgwYXtYp6Z45e8vAvgmNOBR8bVm6woNxnOI+d83E00bor+VKowJnMTZy7YtSu6cNxtRsou
FqROBcvO5mXQaq63de6vizaNICS3qzpm+KPgoy7W4bgT6wE1k9VBk3U6DOdcK4jKcrGbdjSn0p6F
XbUNUqd5LT/VftlVFdplU59BLvUoKof1dJ19ImV6v7R809hB13BBPSDT6wAvx1AubgjJDoW9Js6d
uZTtejxd2/njWvD5pCVLExUWh3ddSgcd5NVtUNAkb/FWFBAik2AbLNSuo+4RzWDjWC/n2TKkWqYN
j5Wnw0k3dboV68f/HCYE6O6/RQkNFUXypTkqBr3v+wq0NkiWbrJpIpryKQuGmxSOL3X4Y+fyaB3d
MQ7dZZeWh3UYz7Pe7YtpPhjDNC77buO78LTkqoiLvt27VZ3npIba5S97qWyc+/KiyMfnlts/iG6Q
3F/ZLaByQ3xDAYcGg5FEP9rdt13VjrhIky50oS4IPU5LMJg30TyslXYV12mVy62HuthmYhfUUKQ6
PNyTcDO3dtvl1aLDYOXaddMatWEIMZuRpCFmFw4F0URUh8WMV1BYt7SaL0wxXLUBfr/SLK4decz4
fFWzXqdU+rjJndepKeHGwjfJLCWUxpE8oyEfdOZ9cErryUMwtl5X7XSZj+PFJIeTVqSZNsKe5WNa
bIRQH7twxZqW47XA1flYsVUPvH22QZEnnLbXkw+eVU6rSBrxLILqqhfFbb2arRv7asPxc1uZbT5n
kbJgQdbtXc/0KlXkc/5hqvGWyknp0H2a8mC/GKmbekp6rDM0RWjMI1PyG9sSPZl8x9I5qbk/Q4G5
6D10jxaRuJBqF2Bb6nwYbgrn33eIQB1nt2vZvc/MfD4Qu8bj4KM18DtadFGXoR3v7BXPpx3KVm19
8ZCi9qrK/fFAaCwI5HvBY1HIi8yifdNOFxOTMankVY3JqIdaxANSicIqMhnfZDnagOtPEa6SaZyg
y5ibau52YzgkPmwjvpyh5tSna9IvfONVFVWh0bi/LdarVNCoNDLOhxPVlvvCpjcOjnC7hJmJihRv
OltvZbkm+WRr7ah/LvM8mr24GBCLO1fcdfXqteoLuyOkQtFKWacLEfqbog7fNRl1Oui62Lpp0qod
LwwvHrqKjTogz0bW+zRQN6yvdBo0jzILNu2wWt006amFNNRqbC58V+7IyjdF017Vk7gss+KEkWWK
11TobuVLFFQY9vtYNcOmL6Y4zXoLnem2INOOzvOuHnKlS2tqnfr6Pc3tbdbz09nRD5WXjebilq/d
9VwPPoGo3ndp+LwSepIOuUimfhC6wtnJMotQD35ZYpfJKuFsPS0z6FqiOa87gBehQ/esX6uETO6y
oct92eVWl4O/RRXNNbaiiYxaLhzz78dVHo9hm2uKTBKU+5LwDyLENvJ4jkheXONe3A5kOEHz/Kme
V6UDW8W4ortgmuMZoYtaZHHJ0w+1n7R0ZeSYuhRDcJaVd2u36kYOkUrzQz+ad7RekwWinRXt82qI
XuDE5lldzQu9IZ3ZNn7dO9xdpsGnsZTPakUf52zWGZk3eFAPBSOxqcMxyji/TNVTHULLUAkLDk4e
Wnzg9NwOl8VoLlxQxwNttaCX40K0L+T7eu6jElBHs/rICqrHdo5J8VSaZWsnmZT9baiuJ55rMzNN
q2dl8hiTuyG7CrN6K6TTkr0LaqezfrpsBgLhEpwV6HImptX5eorSSocL0x56lBFs78INZ3VSmlKr
QkB/OMfTg+JtVIf01g9SiwXyuiS3Ul3U8xSF1TuUDUZDrbzpUlJGg+FxZj5Nfb+ph+e5aKK6VZ9m
SquNGvtPQSt2xmW70uDHcSp8NKi81mWj4qUrM83VFJOl0141cl/kZaiDUfWxzOoPZgmyZCYLewwc
wVoGMm5oKDdTs55wZ6/zrAvjtcDXqgzummW5acr1ep2LizX1YTS2zkTUUrbPfFkltpI2CYUd4nGy
QLjWrVzDnQ96LWrjIiQBTmX5fBWwLtMOtcmEmK6L6d4LgMPY7cWU4mjwVq8i/FSP47Ga8ie5DNfK
tm3UFWRXFEsWNz1AE5XWZZKGqNAkSONi9NcVXQHa1QkA9dOmpc8lqqICbzMvjhlrYty4s3Jqofqy
s7zjh2XxW0k7ErOUZhvHllyziQfx1CkTe+6CqGfKJ1UZLPq/8jUlVTgATGu5uihJgTQgsGuD6lu3
ZlbXTV5CNKSXNMfHcDYmSdUyatKmi27C0EehHQaNAgk3qcXVZ3TwlSZ+RZFfGMtD0y7OZPnXJ09+
e/mv66aGv58fk/jfN398CVf4eskXPvfDi3+jmr9DJr889fI7i3+OaWIEfz7D3N+nl//tBnsPj99U
ryW5Fzr2vxf4Qh5VePTCWRWIoATm+ZwCc/1CHkGV5kyB9MkBW2MZAq37xh1fZFMl4NOEvKApAnjq
G3cUMJtDksNsjoQvegP5v3BH4KM/IiCJQEMKYZzHKCGSA8r/EQF1QCIWQ/Jx74zJit2w9uV52PPB
xzSFuq3neaiKHTzFBMkRti732kg7dHET5mQfSFYkMEh0+zW3XJxhVM6DHmcDv3vam7vVtKrTmZwX
l0BByo7XRqiN5Y6gxE2IZoeG89oA4VraO1Gh3MYNNtbp1eJM6DKre5nAoyrhh37KAN36cEJatmOC
lok4MIV9atelhEzrGCRp0FhfxZZkco3WSU3vFB4Ks5sbN64RmV+oXTcXbuvqdaRQZewoLyjpxlSz
tq3raOE4O7OIsnd+mttUl90YAkYtppZHXdD1RlNZo+fcoGZNukwqHzMWsEubp6zaQspntx2ryLAF
jL88UBH4i7ao0rifazsAD2+nQVPHxvu86Oc9lxx4dt0Kc8cC0e8A78s6mhqE3s0TsMSpJmKPMdQb
akFO0LKwRGiKp/TaC7Lc4imTXtuVpF4T1JgdkYA5I7q6Umi2FDVP2j6kZ6TG09k0r8EJratw263M
rAdq6gFfEddQrKG4dNmGqZaqm9Hbbr90eY+TSqEOxAKbkW67zDhoKl1l8ODYvut7js7ly7mUSbfS
Xm2KKszldZ8vqNLeuUKnom1vSU9LgE/jy2Hle9BGoFfbdkrgMuyEKtbtZCmBpOB5thl0m3zE58Dd
M8A5oQc6OxVdjFPbaTag+dIb9Fws3ZLYsiTR1JN03wTDGAVtSgB/YwIEsF+icUnXgwrDXNfUcL2s
zG9MiRerAWxzozMxsZiqIbwa1byfAI23URik6jiohjphRXrVFzI70Gq8IS0tolLYUwfxEUnFH3Fd
7+3o9tOc2W1QoXrLe0Wi2RYmoau3Zxmh9lhA2FzWIIrsxTyWUUEZHF3XyW3NaqxV0x4PojvNs4BF
QrJSr6k8Yxj1Z5I1WNux7k6rfArBqyx/ZIDJt5LZ+sZ4bg8jLfluGEkRZapZdKCAG/Cxz85L2YYJ
rYbmMnSsOTgLKIKVfE1WeMyl0HOO0vdZNV+Vvu00SDHZfhmmVXdh6I5bkVNtVJPG4UwDzZriU4ML
etU1GKi0zcYozEi6EWnFEmanUmMQt/SYApTGfjjrKrF2Os1RlxQLH66rvL2A5rsdZ7QCv+UYoFaR
+/M0r/qIr4t3ETc05nWhG062Y+eibBkvGWBxjcLgytr2aRjMRTlhr3mKy6TyHrBQ0Yfn3kOWZTIY
4hxWdDeX9pZh1UIxotdshPhf6gAoePpY4XyLB6sugnVFT64wEOlNC2wpHDSehNdIBY125fwcWn8y
1DmKuikAz7e0joK6XAOd4kyv1eB1lnK3TWkVaNBtws26NP1pkQehtn1dRTVp5mgKgR9UC19vA7B7
UxRAHfKKdVtKi+lM5iVBkQymq5I3V8KnxXHF6zBSqBo3AH7DRLKZJSWd7TvXmz7BYZUBFKvXw+rL
gcVLPYPmAmqRLsdgHIDoEIpAjLFZvFRdMGqUkuWDKXyjF5pOB6XKNhFlWCYq5/zBd+657SiN0SC7
41mkdJPjSSUeMxOJcqwvuFoEsMyeHM8VLT81rbUbxIsAvvzE7QXzKIurEckdRAJUQh+gPuFLJ28m
RbLHthwnA+OD37rqT9QnwV/xcwnMHMGTciC6whNAoC+86A7fKZtN47q8yFG+l6QffZziCVgcPAS7
nPe2pu+nxjOocY0p44l2a62tG+217YIlcXmFH4esU8Xp0kwYJ6Xn6y4gIkXavXg/aiSGNjWhCche
HqayS8hgaqStxPmeD7WczmdWOacBU04fekHLyyVElla6VGLkJyBIybN1HcqLXIKUyLo27TUqKPWR
Jx5QLyWB0DwXN2UPws1oy4WCbBRwrlEHV9dpKKYzlZb9fprCZTtAfT9Zs2DeVHlF9ErHecfnUB0D
UgO6QoYVsH6TQdqn/oMqgjYWU1BoNygDNo6VAx7EicYBLzbhDH0LWBowc7a2kZjUuuykcEFT6xFP
Y7UNMRFGzxKNO4cWXp+GzMhEOZFpNIzBEzz0sBz3PWH7Kmu6FagSCi7LUrTJ3Hh+Xi89vehpnl11
05Ks1JUbY1oOhG0dCj0WGPidqnkkh0Cecy9ADwhaGo9UdpGvunaTe9uDXrD4pEW539BMXuVc2qjn
H22xnIzK3zceb4e8BQTdI3Zoi0/j6C5VgOVpg3Mc8WB1sQTR8DJHpYryBg4O8EZkB9RBXZlYsLNo
MPe44ySpKzbrIRyPfWAvyTSYQ57WIOAhKi5GUClClvI9tJUyQl5UH1zYNqnuOe32aziISi9tPyZt
lgZa1c7eFsvcx4i0n+Yp56AzMqX5quwOQ2yed2GHr0BieAgbNl82OWQenYbh0HveZxvA2D0I7itP
170cMMuO7Zgp+1gtrL2tmGgGLctQsa1iIz+0azsSKMqczzdqnfEQqxq19wsR5Z1Pa7Ze8TQgFuwL
uyUSKuvuMM3yg2w9PZjcik9TkYa6bMeBJhmnwFbzsjdRLcYpstjzrQqQicMcqCqpC3FFaeAfaEWA
+hNVXxE7D3kSZuW65ZUco6ob+BlIn+5saAY1RikMIT6C3pldIubZWVVAvem6Cfr8MGWxYLNJhAjk
dVeCfM0MFaCcQVGCdjJneDehrjo2UxcQ8CbOke6roLycbDdNkZQtNQlypQHptKo9CPkAOPoEil3b
bcp5buMMKlarZ7cOXdSnS3aofabgOEkBbT9c1wTboLtcmqK+gdbCnoZGDDuAXh7oPG1YRNuuaHRZ
kBoSYbC7dlErVD9p5JxMA7YfBC/Ks3Ip6aFh9XiZFUrdDj3F16ZmwaZzaXa5BsDjQJFw9grMKK/x
uoJ3OwOtaWUVOhZyGk/yjoGkyGUfnuZlNdrIqY4nIm36hDhyt7TWHOchngqNlrK4q7wJb5d0eh7b
IUARxuO4w8huyGKgdU284NuyXOaPji4u1+k8dLnurYT/VoDy8Qq3FbtN51C04NExbYH3EQmDoHBc
d6Os6UfQ2FAMTSm4E94Ulwan6r7tu/kas9meFoLSUs+W9IBLLOY7VqCxShiqSKZxUw4bQ1fxMAhW
7Npg8F1C55XMCR9KoJC4MdkUsdkvH5F0wWFCbU21TQuqNLFpeRKwojtjQzjFaCXjI6rdaiDnenmD
LQL5s1AkoCdNSTJgGgRlt2SYlhTkztnUURs4mDd5aBZ30rn6ik+y3E9pSiOWdVkk+4EFcc9SqyKu
AInpCYSEYyh6/RCjZZyruEm7etF8nshHEPmWcjezKf+0FA1JozqtxrO2AGGuIymoJ1UZ9uuJBIyN
cFu+aFlQXjZ08uEjMGB8mhoxHOcFceU2pGT94F1O2gR73O94Ngfvbc9zGPFY+amZsb8aMVCo+SUk
gTyVcwVBkEES1k1hIOU7iJHIZVacrmOL94ZiBfxnrqcMZJqsrkDSYdmF52q99sgE50sxQ7EPUc6g
iq9V8OxhAFXoviaq0n2P+GFVRgBdqOh41q12uFtzSj9lQb/0Gwj57mnxWbnHnUjLqDFddmtnk6lN
mYfZfgC+8UzMOMZ5nVVdUntjcdyZcE7SYCxHDQOc7gOui3WKAjvXSRUgkAShiU6JKiVIFaCqzCWM
Eld/0rtCnRcyVZdwPvYweQyoU/Turu4mnMiUWhs7AC9tNJuuvat94ztdSz+4KA0MT3A2zXvHgmlL
a6gAccE5aGNF2EA8Fu3cnDPWmvPBkGzXBbSXemIZ3TlreA+SbTXOmhalJ1FuWNiApOrVh8oaXGve
hO8xzF0+AY+hjS5mw5ju7CIWCAXjDm6ZFxwZr+aLxU23MPi4GgPfXddj15lkmG1zPlQINRdjOee7
cSX8XqxBCEtL5Q8GpMB9x6cyaWfS3w4d7Z/nDMk6DqZGXjVorq9WVmQflqmCTlSOYb6vXZ2P0RrK
/CSzII9vAAiDOtkowjdDG9h9nhVBhA3N37tRkOPFUu+OS1OhYquGYASq7eR0sCp356Gcx5cZ53op
TD1rHrJ+H4pR3sFDpvOVA7g1x3gO0j1QJZFt8EyrvQW86WAcs9TxOkB0RgRGTuF5h6sFEgiUk2iV
47JFMFS7Hxfr9kOHmgPC5awnFS61Zo7BYADYEiCwvHcw+lJdMF8Ebqq1qfj0ENLMP2ZtBaLVUMja
wZB+fEGsUCfugc6CTA8UPowIF1082oCAAMGnEGBRsXzIpgIkazhiZbRSbQFcus2nPq7HEuBvB4m9
RNm40jgIZbeHkZ2/ZrwqMChocwPQrKI222bBtGiMWXcmAzZvqw701UEO823b0LQ8r4NaQAy7l7rZ
GrTQGOo5Pen87OuLtnSAAkZgwmY7d2wBfBE2q64UoKKlzUmTUNNOEMwVTKXbzmcPq1vpSS9liRLZ
zStM3+usfJn8SHfSF1WHNJ3SZTmeqjHI9jJULk9S1iwfWwWwDQ1F/X7uVPfEy0nuUaDsDedl/kHZ
cVj0SNC0nVCA9w1mfitgTr5fbC5hZmKH5xJPCzBiygoY/9e2mqOul2O84LTf+Blm6dCSuliVC/A4
BGSsJiHQ/AzEFF1nIX9gYdYPWqiWX68KZiSWAInMlDgOzcg2S1XRxPZqvRrnBR0qUGdiEpQN6J79
vEQGNODLXqj0oVlhDmS4664qNC/Qs/t+2AyND4AvemouVxClNv2cVzdMBeOhKtl83bSh3QN17AtA
sw06N+EkY9BY07O+Qvx4hIS/XjxAfxdUyy4LZxMtZrbPjQztOSeOX0PYAxIu2DE2Pd3POPW3mR/Z
SS3wegKzsXmXczrshwyGDbWndkvKTvchvwJM7t5N4dydFFnGTvOBNrtSGHGHwHOfUlpkEXAgvhkN
c3G64vK0HSwMtsIlApmK6byv6wwehQCdoU9J9ixZ/j6dg2rHeJvUrqJbwHZT1ADPTBbK3alv/Z0a
Vxgllv20VblySd50ZSyFAni6yhsFBevM5u205715wGGYvqgVZUJd0WpPOeABMhyTPDU7kfnqJJUF
ib3NTZThufpY0Mmerf9D3ZcsV25rW34Rb5AACICTGpyO6lNKZesJI9NOk2ALNiBBfv1bR9fXV8JL
pcoYVERN7IkN4YDYG7tZa23W17uEIkXA6zBedBWbLqayFIdgkuUJv2c8CcXQKE/SpMPj+es0Ljp3
UZ/hU5DFMQm+HxAvEYuiiJ+zvGdZXAD32y5wJJdkVgRh5zlKk7TL7/TSsmUf4wqte4FWzk6jE4KO
uhGXS0Mz+9ZGKLgizk4EPyNuUFvFv6jb7x1M1tsmEvYSuJW0nMfpe5HQZXvQM0vGd1K2Eb+vwkrQ
Y701CxoyHfI/LsspOq4z7Ltg86fFkhh1spUM+akpE9TPaBE3/Tceb4Id2BjEn/uJ1PdJkuHkOa2/
yD7YUJY4F+SaZY6+i9a27Z4ga/yM8kdwstNEH8m8BL8PRYbA28j8I3BmRuyKPldfJkXZDi6O3Sah
QlFAzuFnOeS4KKqwD32HlucBldjkuG5hdc2A8D3QtaMIJGj+bumGbj/JYXovRLNeB9bSW1PneA7b
uD5RW38htAsfJpJfiSWSe3IuWopz+VI/VTJndC1RKg0qUhxRco3f66eyZ/5UAhXAf/ypnwqjhPXi
DyG5vLdxNbzf8i36zGnY97u+QpS/q88Bu51iQw55LtWFMrX9iB407mn9FN1HT5F+8hT126cMQM3V
+nvcDvCd4SzflU95QjR19CKzeNGmsU9ISp/SCVST+De1qXoXV4m8DDLyMY9Xc6ntkB+CDAdfbUDW
BGXSobt0zlnmp/RFnjOZ5pzT8HN2I895TlbYqTjKDe9z2a3JrowWZETn3Eies6SiWNRh0E2ckn5A
jfJcEd3DmwTfASVAkmXP+VZ5zryScw5GztnYGqC83YcFUjTUcpCu6aQg2yOPx+prTGr9LRZbaA7t
OlH7ueY9Dinu6vhu2pBfpgvjqIWjkK6/DJnm7R9BwY06FrHJ/wSmo+sBpf1V2YU8Ff1fGKwIBboS
JCboT0SSOKAf0/JypgWeE4VY61YHNr/pFtUfxoFWl20Tykv0bptln5kuO9qheydr9J4L26luF/DF
XvEp71FN24L8gApAq3dtUy3vkfV07YGhTvplaGY973JF+0e29PNOk5KhBqiWIxf2XVNn75Z6Gemu
WaL5JpLNNKGhYLPf22CiJ640v+RFXz2QJLYo6fPyivLoUdPiXUuy+6S20U2e5cDX0OwUhfkjbJze
hc12i8Qs2fOAhTM8XhgH6OtuBk92L/lFoXpAfSaOABVvR3gxa1Hf8zPSi3bRzI4di/MPERqIaT6X
gGVZE+S7jnYLam9rNd7BufT3chjtaUQkMx1i1JaXHfxqMh9jW1dXWx82/R6dRCDLGq7bP4QZ+3PA
bBBIxtM9QbP005YvGZqc5bxn8VYfkt7OzS6qRfa1QFfhq43Xpt0vTTecsqkqUtX0Adq2GRPoWZTT
qRRrftHKGCbH+MLx+wZud2tTzn80WZLg+TJhliITbtXBjslaHgoyNO1OmDm54OGQPWRzUnxvIpal
E+AMxyxrg/cWlRFUCoD0sCqer+pSLnsSqugOpcUNtxJBZ10m9rpKiuC3pK31EctNe2C32veVKiVB
nVf3H8M1gwXkVO7mZULNDJ2c4sSNwZO2xfNpFf30dSaR+hAUI/nUl017kYVbWOy7uYdrskv5sAFD
chgaRq9jeKk9Q/Py2KHXcFzyQtyLIio/tuFYwYsWCVE7iZO5UoBu1khieHazVluYclGEsOukpDe6
6R6TBG1XgGQQWz69RFsxsgceDPntstkaSKQhBIaqpO0k79sqM3Snz02k6KmfFE1ACu2zpz5TeG45
DajqbvtcnztR2VijK5WotayOvCXfo6euFQAdR/LUyRppTE+GLOJT/dTpakkQxLtOLcg+Fbx3e4B3
019zVPfUBWU8yu82raPweH7H/mBmsQOybyLROz9328puXsxODxb/RGZA+a1azHA51Ft5XJY4uuxJ
PyGu7hmSa5NsKDVNSVmVF6Xk44pOienjw6Ci7poainiif6rp2nN5t4qjL73UsdxN+YcqUV/UcDYQ
AsyLFeqqz7bt0s6JOOmoM+ddj2hkh9G1LdAiGoMuvtDVOn77taNycK8SoEQEFnBSLOQ0AgT2ZVwR
ojJfoSQqLpM8vsuTd3013Oj54emP/KPu9e1/xBhedqyfGs3/bWf//9TjBp6ZIUz7+1n43xDq54z3
v/raf/1Pf4Gixb/ANISSA5ccmHf8+z99bTB2ZXTmJogI9BK8Hugp/6exLf8lpaBPve0IX43gk/6n
sS3/xUIIEwBvSkFIwWf9J43txLkbZ/qdIAkDAw/YUXD0HGSfamPdYHt9qoZiW3fAPU4fzJwvX4p5
mt9Ru3wwwRC8h5mgzlWgYXW9MuBqYx3lFTx3WX9tqmH+NvSdusyqxAA9wuP9tiWocbEJHcVaxQ+W
oy2J5VF+Qw3hPldN/aPkqLmakR+WLQmOfTlVB96x7l4n6Nv2JO9yAAjHz6g/Nt86yasDktwZyUJV
3a9d/L7q6vm6jigadpQvn2jJw2NYbhmQKQmKv9XUPXZd8sUGeC/RAO52bdXbIw9QHglbO+wsIeow
jnrYmbV/DBtaIBG3HVLlKXmvbVAdDGp2jwwFzOOYl80RAFUCMNQUX6is6tMpTJbPZEWvCf1VQIsy
3d7AExXfJW/gsFeEzKaV44fSkCYts4zPeGdocmAzFepQNjZAT45n0W9VWaAgzWJzDHuZ3CyRXZAj
baZr9iPS6d8QUQGNVCcxClg9m8OvXSQSNLE0qqAyjwZ05ub4Np7mp2JuJT/JoB5RSY3w/FGJsvhu
A3Jt+XfL6R9Z+8/t+CzZ8h90y//5v3MI6Y/uzIgeXa9x3s3fa/0/hb0A1fRf2ZPn7IfoDPx+3Ru8
IK88eYPzf/8M4BLBqGO8QGAgcxAd/g1w4RKMfmBekAAC/kLCM/TlL0dAxb9C1JXgCEDJpHAI6Oz9
5Qj4vwQP4T4kYC8w3yT5R47gJTI5IBEDbB0J39k/PMs5x8xmXaUSRHXRIYnfjTPUF/7+/T/pTb62
rtORREwx87G24jjF8Bq7bQPorCDc/ltJ5t9CMv9geSdVLkVQrYttxbEY+mF4v/AtzD/kduv+/PX2
XybC/z0W58lMmg3RZpXxI0qKI/LeqEnCXUHLONqFLGzIjtF+yk6//mOvnRU+/4tvgG9fLihpH+1I
Jd0Bi5SjU7ly+Qb8/Iwu/2+68t8f4/h4kfShLtEDOppIs9soWljzuIRlyG9WObU2DcTGh12z9vq9
1w+SuOnPf5CWoZ7F+Q/OdSLsVVeYzOzZaAp1/PUfOC/0k190phM9/wNSbUs4GRofl2oUyxVHJ5/s
dTWS4gZ1v5LcRuiyVKjkoUwtUNFkUX8K22IeLn79952Szd9HKh0gvxbNWMXjGh9Nns/9Ho87ehvA
g1e0B+qjzxckI2YVAfLBHLAMQ7pOghGRS9KADu1hYPJ8c58Zbp2vzYxKMY5AknhPh+5PES/qjd/3
yo2UjlfoYKmLXKf4uK6j+BJ2a7fLZlO+89u64xtqWSo+0gHFBqrUjxDyXjdtoCrzRhnrtc07vqEL
FuRQSLgAhhHzp2jp2c5mm/DzPNLxDEO9lFoTtCUn8I62Y2iDeThw3XXCc/uONyBo+Mq1LuENOgaY
2op6NdotPUzp8Ovjf8W3uVSlJpnRGjW5SJt67LP3okFh5xNgIUmIrn+RiAcw7yi//PUfe+1jOL6H
lGvQdqMO0rZbwd4CYqeYgCsHscJrfeG4mlGGJlxsLNOtA2Z4zVmA2E5V4/DG13gZJ/9t6MLxNAlq
wLUha5Z2gdya0zJEyErrZY0U+nwFe6sG/NqfcfwJZR1qAzoQ6TQZMl0Azt+GR7SVa3vUCiBLP7sW
jtPoUR/IqG1kqgkA4NWwohAkePLh19/itR/heI2lsjJaEOOkJACeoR4HQW9ytnb95yqW1VtV6ldu
1FlS5LnjK2SuKym0TIearZdBs4XvEsTB9b8j3H8aWQjXe2RqDXE4PDWiJxZAJcu+8q3Tx1+f0Wu7
d9yHmUUnJPTO0rnGF5hQzzgyEwjtuXvHeRhF27VeS5myca7wDVZpg90Yrmrz/AOOPVdJEPeJxekn
UdO3lzqKW/AMS7Et914HdI6Sn39eQVY6RoHlaTIW6pOQI1iUoFatfvvnjqGJdYDcHNhuqaZsUhfT
Rm2yK6pmCf1MjDsmBkJqzycyiLQac80uATSY5a40bHjrbT57np/EPtyxsjUv87BZ8In7bNXDocyp
EPdNsM38KgfUqTranKztl7qR9DfT5kv7hid/LebhjuHVNs/Qxl3gCmtZ66siGDOAhzfUMtVRoqjK
ALKeym3eq4LrBtCjLReANi20e5zDCZAivwviGOiacfStqyBLGwFwK1WLSKWo6Rv3w6nt/+3wOXl5
/+J5AryC9ElKw23ojluUzdMRILStvtAJFWCKjk2HZg5bmgu2yTa+A3+HtLdESFl+kSBbxW9s5RVX
wR1blm0Za7QTWKpFNtI935If2tqlf+Nle215x5LrAa2A1ZYiHQK9gF4TAXyNknP+h9dnih07Plfv
ATrMWZprK7/GeN3uxjBo/NxofDaOZ9Fvj5pvGQQiAdoOmQx6BbIBd1MN6/jGLXvFymLHT4yqX2Ni
B1Ba1yUjl5Khuv3d6ggWV5AiRD1JGd3syMZ1/rtutpH4fZZzufD5L0MbusYlQtuVy6xBlbonY7Nb
Adjy9OCx4z82Blyb4QBSo4odHfk654eNd8HB77Ofb9uzD8OzJGxLQDjS0eRTurUCugSDLt/wQa/c
2Scc9PPVo7AILELVtCSAuZEpKg/Z2hHPS+WYPrIeYJ1Vt6UEeeMuLKLPbc7eCiRf27pjzRH6WMzW
+ZbmYp1uzdqCnFn36MN43hvHnIvSTJoO6wZmfZMAQQBYGcjSLPX6rMyxZqrnWE8VVp8ywvYLFSMg
dJHy2ztzrFm2BHgpgc8aTKAnV9TMO4BfmZ8fdUn3ZRgM4ZKNW9pHqj6NCSg0Mwi2p1+fzNlsfvIc
M8de2ywuti1CWXkJ4h9IO6v5xKYKnPdpEdzzFzgmS2cxt5CCALIPhvs+mbryGLGu8kvHmWOyYBpR
tmx8SdG45Zdg75hDubae7obRlw4hmtCklltp0nys2bWqG3Grbe25dcdi8VCjHxDRKe070Mn3Q0zG
vShsVRx+/XFfMVrmGG0MrncVABFxBPLYXlVTPt2YLKs9jcoxWdRHgxkN0ek0GHQX0HwPZf0uHiQv
/O4Nday2itTc5zNAxzZH87XS8dc1gQyH19lQx2jBeKkYOu3zsa8LYHtGQyCygraP3+rO+0s1mOFZ
KUEmaIOvA0F81yY28/usT/CnZ89IpbchCEb+19YZ6QmoYdx36661xjIzsojmY7KgaEzOq4/+B+NY
axXOOqtHrG7LpNgbWQF8yEnpeeyOtRYsll1IQqzOyI9esfqUQyXIz81Tx1qB0q6lyrF4spkmrYHi
RObFrV9scG6iPI887ERFVq8VMCRTtgBAPgPZqLPJc++OrTaFJm1HQ/Q3AULcLYX6YUpoh3hd9rPC
9vOtj9sw6a5YzLGpCrZDM/BrMKPb6Le4Y6chGHl0LYLpKPqwBcVWfRvBXvZc3DHTfkxsiUjYHMsz
DpOXQJaZgQjP1Z23VYB7kasA7H2RmOh2RHvkPhN57deiOvfYn5+6NYy0INOZdEMXdQSJQ/IYSM9A
jn535kkN6JmbIb1NGqPzOV1ZA652QHWc6oVMv/t9WPpy/5HKQEuGrkiaAz9zlZRjdBircj36rU5e
rm4AoaM5SKrplNDfopI8jIw++C3tWuoIiOe6BlOqiuAO7vHrSoRn+Y44dpooqIlErZjScinkwRTx
h67KOr8PGjl22lZjMCTSmDRQE/CYpbgRBNh0r1OJHDtFW3jRo5UBEBT2D7VGn0ncXPst7VipVEsO
tmOwplh2nHYbGQsg3kaa+7neyLHTOY9NUbFhSiFfG35hE/zAblRb5BdpRI6hmr4mYZ11JgWabzt0
VnwvFFQH/M7GeU8zqXoxq8Gk8TqA0NJobL16q/P6Svx4BgM8dzFJy5nSEMNKoYWY3Moxj27rINOf
/bbumCgBfXYAqhbXscig9tMsX4RUnp/UsdGNdUmZFZVJhxgSEJG0X+te3vvt27FRtjC7KIq1g3L8
wMx6G7PxLckyHOxPsrGzmOTzA+9AcssncGeOIbR89kGZ3agt9KwPQI7yxeJRpLXYAgJVwzABs1eA
XLfWfq4ldEw0KBCnD2ANpnXRQtiqO4F26+fJQ8c6mV5WalFTP3YbSMwLuWax3wsaOoapVzCWOxCM
Ut7kN7KzaTtkfm3W0DFLVU8WmmfYtG4+brMBj+2T1+ULHZOsk3LQW4WPyIrq+2CTB7lxPz8VOvZo
ehDcVlDm03WE1BLkG0haGjoe/DbuWCRts7N6RjKlI9DCIIlWF0mWfPFb27HIqlYjNG/C4BgrRLdB
yL8xiBh6eVjo+Lw0G1zsvq9DPMmFAsQ6HsE9BSZy9jIcIBhfri7HWUwsngEh5I9Dd5CoYvucCUsc
iyxyME37AupSRgLMsdBR78AC/eC3uGOTC/rv69pmkK8o9MVSo7ff03LyuinMxXQNxoRVUGNxWcf3
1OjfFVsHz1Nx7BJTadYzTnE8Dg29j7G2NbPv2o5pRosSFDKyKBsTGt6A3VNe9cxyz1NxrBNg9Rmq
IwYXJd74bgvLjzUvvAIsaLq8vIQ2MWyB2sWUWrqCgR+yjHcHgghIebkWljgGqpcG5MwSNpQz/S1Y
5s9oPnz0uoouWGumIOVzinMxJo8PvanO6k1EeMURKAi9PJmhmAXq0RYbt/bedOGVnUG58Nu5Y6GQ
gAyZKOgICUl6WwNweIQaB/E7cRdfZfIBmEuQbtNQ1w8sgAbdUHgFKcxFVw1x0K45bcaUgFkEjko0
7CNW/ul3KI6BrugojOABjQAY8K/5aK8U6Jp+Szv2aYcpqyQJhnSNauhCd6I/tU3ph4xgLrCqi5c2
mQHfSdFC2g7t1t0JCraF39YdAzUaMg3Q8RnSDvAXEP/NEFwHc7i+91veMc8loPCKzOCLzusfIyI4
O8rvXku7AKcJD0+heTemFc/fW60vw6bxu4cutmnOZMXLmg3pNvfFcV5ycgjq9ne/fTvGqTaWjYOt
RnB19b5i610j3wo7z+Hl/w7ymYtiWqBxWYN0NqRFM8dmNwhe3vZcg1xfErPu/fbvxLZxBfJp1UHN
qlb0t7pgnwNdffBb2jFRC8RjzUU2wP7n8WIeh2gH3pxfq465AKacFLEaKMHGWfS5mYN2xwL9yW/n
5KU3L2wPbn9YjGlMFFugZ2Qgj9rKuqj8Hmnh2Ckr8lwaWeNK2uBBNeSD6v1ycSYcGwUPBXTjCUtn
a/IAbZB3GeVebSjmYpZquWZNP69DSrOGpIEk0wPUOJQX0hfDE14eOhEgns+QBkjB8QP7bIBSGvME
jDEXD9VYSBvbsRjSdtbhLpzFqV9yv+owWA8vdz4NzBiW4MjhHq/BBL+uY+tnQy4KKlny2pSYMpCK
DLqtYluvk0H59c3Ax3+57wS3JLSkAnexm+9p1N8M4eS5b+cNHRS6E9Aj69ORy88qGh7qqvdK4piL
XMosa6pcg3HJcTIQFIG6LhRKpJ8/dNFIE8TFg7JLevRtin4/kOoBMrp+ISh3TDMMkWe1cdinIDpD
6xCqxfPRhAH3OxgXilSCwbrNUMRMabI2kFrj/H2tws3vi7pQJPCueAasXY8xCAPZRyO7w0vq1z1n
LgwJnHDZxbbDdekSFmIsiASDugBdd668ajjo8L+864DnhkkOIYE0zyGluW9RPEuzjEE+1OvJcOFG
a2UMOPCZTmUwVv1+XnTzp0nE4pk0xo6tRg3EP5ck0OlQrNC4yXm5wwnFJ7/dO+YqhD1L/4U6NTUn
+xByTCDVJZ7+EVTOFwXFqQYCb6StTkeoyGDiykaqbxAsa/Od3+6d19SqgQ+Lxdl0BQTcFOTpbR35
vXmxY7M16ZYmEAbn3kp9sY7heFrqrrjw2rmLN5rpjLE09aJBnYy3z2GX5ReYA60rv4NxAUcUfjIm
Kz5r0mY9RF2MhHRInHW89/wDTvSLZlzVtXrGydNxuRwG+bHoa7/aPCSNX14bUTUEGONBp4JNEFAc
H5ZqevQ7dyfqzbN1oXWd96lok99aCILuCsbewtaeTfIncbsLNILwlIAebaNTaPLI3yD1bS9M1cye
V8Yx1SkM7LrRuEthqcmOA/qyC9ZA+Lkxl0M/rAF69DVWj2dMwIkjfVW1b6GYnkLQnx2MY6e9wpwg
LUmXzrzKIbLdtCWcjVC22udNklcXEB9fHk0z1pd0pAFPpwLS9x9AcRP9Pep/4/CYiIZjbpCauouy
aqGCLWqFYnxuexkukFgs++Hj0pPA7MO1b6tvXVEE/R4zexQ5RDFq7UehjTWHOkKVbM/RpbZQLQtk
mRLIWLLLrCvBS45CVBO+BED2YuAQhczwgQqLNZdaTdsJKrLFWT8M7OVTQ4jdDuPc0PY3iKyy7H5i
PCi/j1Hc9xgoAA2PdLD4vQc9bfER2omx3LeCQAKZYzyIucijLsfIIdmCFxZCpuqRyGSBlhcfLrUa
hy0Nu0Sup6WpZ3aYB5bHx1lAzPSI4UeY0pXXkKxAPJsk614Oigpo+6shusbwnTK5rGk0sXTDaUNW
CfNfLqFe1kAKesbYEWiezBvGUQ3Z9lhHZSf8opCzrMDz1lRjmeEVdLJSHhcdqj7BjuRQe/SyWxfp
RVm2IpCsdVrw5kfGKgh0Kb99uzivGZ0YW0P8KI1Nlo5JfZVBIcNv146XjGcgU6COqFNoglkMWUmg
0FJHneeZOG5yCHPKKzTt0pxg+Jit+j8xFc0v6HsaNfcM2lGC3jq3IuxSsxp9B4KWuujo1Pi5MlfO
ueAqNNCwH9N8qNgNQ/wK5L+ZvvqduuMohyafZ6gKdWklc/NpkP2GYn4L+U6/5cnLe963EP7uoDmQ
Jigq72JS3hRb7kf+wtzAl4uHMGGIqOkuXTudNYcuXMrU9qHyzHKoY6QRBC+hY4gbyfMmtkcytpCT
hhZ11R+8TseFek0Q88yCYuqgVF//uWh2FQejH6ODuXJU2izD3K+iSyHbAxzZNAqop9KkJH/67d0x
1znGDIPZEA01SCju7UTXU/TYJSF+WAxGHItddFtDdDNHgAAZYshQL+VRKeUZILh4Ly2WrNxyPOHo
0Qx7IMo4hHKXMPU7HCcPWUJQpWPVdiC61vUVp3M87Xg/cD98PyOO1WIEVg4gUwc33BpxVbQ0/A05
7epXCiaO0QqLgZAYQYgsbc3sZcYyk4pwEp6X3rFagmkLiTq/TqVq8v24YG6QmZrGz+G4kK9ogD69
RZ6cBtB5/VEAbf5ja0zjh/zEiISXLifGoIqyKCudxlzMwWWVtNE+zKAT9Ubv8BVeHXTkXv4B0E0h
D4OZS+kGPZvhg67U3O0z0RJ9WMYu+ADC2V0QJHV5QBQHBfc8QTJ6KiCQ3/l9/cgxbPB0OTRUEX8u
mGgiMdOhhABFU7S6PnkZhwsQgzDShpzl7JmyKcquG4zQESlGlEzh3u8POHkLVAEHMF5JiyESEcZz
QQFtYbuyYrNngBU55s3HDXr2BH9gNQSw5c18Bnr/d7/NO6ZdT806JZhMl+qhHfc2p39uELD2s46n
wUbPIpW836JxrESTIrY91aS6ImT0KwE8USifLd0EQZgvUBBJJ8xe2VcBQ6th2d77HYrzEk9FPeSY
wNCmmRnk0RRQsW5i5flUujixRaiubfFFIXtlg+8YXkZ/HwI8N157d4FiY8najrVRkyLWuoOe/HXd
529ouZzv209SRRcnllv0GfnQteloSXEV1YOEOmS3+D1iLlRsgYSvnCvapLSSEOAqJWagFMK0hZ+Z
uoAxltiO8hbTgETclvs+kRcVi1a/m+5CxjAHN8+zRLWYCFEsNyPED/diKueHX3/Tsyf52cE7Rpos
FcaLRHjfa6gEI+QPxzw51mHUdUeOrK71irEgHPfyMYD6R5bpaajTbRDfkajfYtrT51//gp9fHYyN
erk0tMPQGgQdCwzBLit3/WjmHxgH4yc9QBPngBRiZcz3ajHfS8sM1Z1RXjYcsmZ+mycvN9+R0tht
wOazvECOHxGN8R/Wzx1QF7+T8E2s8YhiBzRso/XQKjR/MUK4LWe/TNeFBsqVZ5LTvEtDQycMl4yn
8uwxw6Q7+JwPC50QqwnU2M+JgsuJyaOZwvd5lHkdPQsdTwzNkEmGA/aOoml8wODocrdh6oeX1ULX
8OWHbeFjggpgTwxyGrL38xrox7aI/UhqEEt7uXqNeQwmJBgMhqdVPuiGxumkYul16NSFCGoUjcIM
mvHAOKDY1PXyIWC58jwYJxky69SuZlU1gB9Q5oIgsu6/bnXSzZ7rO59Vzgs0C8uiTqOCr5giGob3
Hfh8733uI3oiLw9+5RBnDaBEfcij3HZXJYYi3BGiY/OGQT1VWv63P6YusAzTsIjl3MCbcRM3mL0Q
teZCVXM/nJCIGXKClh7HoPS4tt1NsCIruNGi7JuvBAqpJ8PJdilYALHrZINULYqOQYWxBm1syb7p
+1Xtt7zItu9dtipzwsAHyIObuLRQuGbsetbldLWqYj5h+iOGmG7QwCh2YaPY9qGIwG95qM46FR9a
JfV4QMKGydIY4bLsixDIz7tSF8F2wH89qltKsm7+3e/QnTgeuMYew2Pi4phnUXk3J1VyQzDvw++B
pS4krgswkg3V0SrFiMgfnPQYG5nf++3cefaQa2IaHV+qlG7A2dYYp0W68S0hjbPF/OyqOA+fMUGT
b5izkvYaWh0Y0r3VyyFZgXo4LMgQ8kue8Lr46vdLnGcw6hNMEZ3jKg10wI+sWurTpuv8o9/q5KVZ
FWtmkCPSKp07VkCxffs8leStczof9s/OyXlDIACuTDWYKuW1UY9AVbN3ssjtN1tGwRuVzdf+hON0
wizBgETdQ+vY0opjZn0/9Go3Dyi2X6oFjLY3kupXPrmLmgM8ITczr/NjrqaqOpnYRkCHBfVRNZsk
eyC6/apKGKr88otATds22VDj0KBKDaAbx4Am4xlTCcegAwiOoBDQVmmEdtxEl9NEozcc9CtfwgXR
CUxxkRs4uIcKs6GnS8y7iE+dTND35/mMgVxe91Wc//qzFDHG2lwpEUCmA0KC4LrnX5Je+FFbqSsF
Nq5Jr9Q6lKkQ8XQC5lpiuGbkl6xQF0g3K5QiqcFwTMUkO+kZ035korzyOIrxxC8OJuQ6qjF1KTtE
s7oKMa2SddzzzB0zXmlYj92EpbeNYX51f2oU8coPqYuhWyGEpsakyg6VItciDq577lfFoy6GDrDC
sxCuyg4aAyyuynGc0iCmj17X0IXQZTFG5q40wGWP8vGo9cB2a1Kzk9/qjpWGSTVkcRioVKhRY46X
/dznq584LHUxdDkXeTBj4mZar6Q+mWRqLzAnxA+KSl0YXYB5xTFrBpWqEjOEdSFvAjGMR79zcd5d
W2Iu8kgxvn5qmLInQpaPeqgqv6IidcflFF0y9TVrk0M793dV3aXl0Pk94i6Ubi2szZscgVQ9GbVr
TYuJXnX8huc9//yfPLMukg6zBacNDD8Y0Th3UOce9hgn5ukSXSgdZuCumACrFVhLzbpvc91hgNTQ
YtCW1zd1sXRJs4JzUcUJiFYdZkfJOhuuO4vRanu/9Z3n1PA2a0UPofRm2dCzfQAK4I2dP5Vqf3Lu
LpaO8S2COFWOYcdrQOfrUDUxCEY5tDw/QCmpSxWGBmLybD9jDA5HdW3Z91MVz1DI1Hw99SbB2OYN
uvfkWyNiMqeZpEp4VeAhxf/yOaiTiW5UxuNRCTuc4myCpnBQ+fXVqAu8oQuhW11N45EuTQGUxfQB
lEr7xrm+cp1dAKEN+giSIdM50xumHBMZQ2mgpV+N7cHvSjhn0yo1ccwaFgc7FBy+dS1Ni0lCPKJ+
aZMLIRwwa2jDIDtzNF2B6WOSLQedMK8iOQaVvPyyiDZjikHZ5hidJcuWGLONGia8oOHnWRAvoggt
ZjZmExafDWSn65H1u64mfvBEzK54uTorDIj8pjVHUmL2O60ijKtv6+9+X9XJBLpKyjCk2XScSdHs
JAa6HHrLQr8n2cUP5oDJhiygmHkDUBAmUw/5XS3o9Mlr7y58kC1a04j30xGTBs/D47f8qNbY72Bc
uTI1LFGHHvJ0hLwmuW8bW33n4Sb8IjgXO7jFBSZ8mHk8ti2mK0F0G2I2/8PZl3VHiqvZ/pVe9dyc
BoSmXn36AYhwhOd0ZjqHF1YOLkaBkARC/Pq7o/rc212+p6p6eVW9OG1jAqRP37CHDE5cb3swrxb7
4mdIZvEA92Ge7Dkc4kzB+zfmKq8heLRfWERm3PquINfiXfg1hnv5G+/81VqPdq3maiALzJ9bU0rf
NAWC2tuG9+Q19msHDaJqVyRWXKffrSLvVZO+jV4Nr5nf79JGofc46Ww5tLGJ802nFbyoAKP78zd6
CbL/5NB8jf4akn5O+4mII6sGuj42i2rVMbB0MMfMaJyCf/5n/uAQIa9S6GolFWyr8SFoKqJyTWld
wFH7bUgw8lrvSzcVd47h6nUNOy8BGFghp/Dzbbf+6njqO+wp4BnNQW8ajp5q7kqrqredHq+RYFJn
sVOUmsPaL+tRNXAIg4Dx/rbjg7zarkGh3NiNNwfX7MMxsf3HPYFp9tueS/r7dbk3cF2f0Os5aPgB
FmrYugKQ1LfB/jHV//3VRx64g7GZPkQqMkW36xHWPeFtyk1gQP/+6lWWDSbpYFfburkpdqqGQkC5
/m0JzWsM2JIEtJxNLY5dN+4f9lhvz138l3aif7CVXqPAKuJ9sgCsfKAmAR/lcmrrNPmrHuEfXf3V
RoVvKdrVQcpjBgc2uUY/pmH88KYF8xr91SdpUsE/gx+h81UN+boDneiazX5+2+Vf7dNkgAXhHht5
pFqNAOB2G2tuWTKM4m179bXcl7ZiQSqs5VHa5OLPfg3T67elM6/BXxDiml1IcWmV4fi74CHGtwES
yWvkF/wZ2qrhszzuF+mj3idZkTXCv+1YTV9t0y4eGreHKSuhwnUajX6M2dvUBMlr2FdMASoiSmWw
DfNX3RjdZmP77k1L5f+DfEFGqDFkhFUzW1RylekBvOvGq+Xj267/qsgddTJ3wzLxYzYlGyTUM5td
X6h6f6UneNmM/+TQfo3naqNeZ8JX7Kh0ZE+uWld1b3lc1wfwVHl1rtXumzu3V/+L4vq3eu+f/VH2
+5jJQ1qNazcPFx81P25FMrRDqg99j103HJtq64d8nhTsamC6OONs37pgRn6eBs0adURh3fUqH/Z+
DeemClH1jRAP2N0YA9Law5w+7B42obHR823PEqHvVlv5hJ23KONzn5t9qKM2j4lsSZ0bxzUSoYnh
1eUUhqr1N20atSR51vNWncneQ+65DCjoeV2GefWm6APptveQkPNrC4NcWPxA5huO2XbME7lELMtl
gDR8f0p0D2/MXKFn6RR8KA0MFqGAyqfxo04VqoGOd+JXpRX+2SxwbSsZ4L4wUMcT6ot19Wl7tYdl
g+tSHxM7fpvQtOVLvhl4QfqcClY3X8Y26+UPVS8w+gGRc5+MyqH21YXPF5DeSe8qbPkI0ShbeN/a
pC85iJPVYcfIJj1EabXZohJYabJYmQ9Ulem60/gmESuTx5YuuwIvbJ7CCS4BI3yl9cruunhpRQmf
c0+KhrMZWZhQohQKArj5NtdsHoHf7KamLp1E0cwLdEg22Os5M4+G5yJlHLyRtb2C0yrSRsQSppZr
vK2paXMjkNnlMokGVS5qTL/OTsEAMOwb/7G0eyBHbSba3+8mFey5mVPO74mrCDyaq0YsdTns4Khk
R+mXBIoIO+PLcAeGhsD70m2rcXN1vMt6OcZQNUY2puJp70+Bwcfw+yxUO9WwSEUz+MzBQJIfko1v
NhTDmMFJrBbRRQZyWIbRR2Cx7ABtQUEHhq/LIeBdTtM5pWikpWfWj6LJe9bLI+ubsZjYBidStCRC
ZNdLZrnam3ix/cEbxKh7NtVL92Hb0noUWA5Tuhw7Qu1WTHWTpVCJbcJQoq5pxBcBj/XpRm47mkAN
jRcYFXrt0MzPJfzfU2RQsMAmpJCUkO5d0gvDjhBY6bebMfUJutqxg7bajjGzW2twt+JgmQOSk0Fk
LR6W7+kQgTNjVp7p95yqRJRNZWn3HbWPgGM2IFPTWtqOTva+X+KafQA8a1bHLnDQhOQUT/R6p1Ha
3yaN7/ef7ThMCxgzJpqy+xmbtjmMugnpGZ6S3fypiZSIU4S3vmY05yqT+j52rk++Z3BEFCGvarjF
X3m/rvQ6Nm02fe48C7SA5n0MNnrtSSIh7UzZ8KNyvu7rvJ978Z0SNutPYJfvTYHpEs4u8DymcAdU
nxX45SnKfkydWfezSnUIH+BlmySFbrCTfnQZlvmp7tP93sm4PsbpLLoHYRbODrFodfM09822P3oQ
PNIIk2joBojyokTMzta7cfy1x+SmuenYTMLVNHVDdTWnMjE3yyx5WnQZ/Fe/CAbH6J+J76t7UMij
a4yR9h+gtqi887QuawgEReXW7sJfw0Ni3U8QDyKfB9lmstQDmI7veGiG8T6pqzY5+6ldwiGam247
yWBidsXZ1sefYlb11VMzy1oXOrgImohdLOHTKRWDkd+6W2rubLy7+Ew008NHGHdU08NCJW+OcdNP
vHRbtyJ2eipMcwR+OjF3s1zZjwGaAGNRoe/mH5otNgglzbTBdZpODlbhMaZV603fQeD4CP9oDXpN
xNf6QyOszM5Ka81yV0WGfW8a2emiHm3v4Fc5JlUM76GMbGc7KOtK59M4Kp0d0yQfh93rL8RJ3EFJ
4zqBnOGGu2ij2pq82yI7HsaLJE8OQbu9v589iGkHqo3/msYBHs4RyjvocsIKgt0hXapfKmxhXnRD
k6qCKU+nT2GGPyMEjpSC5FlO+n1vz96BJfshwJ/OVHCSd3xDvN+1n6a8czimfY6O92p/+GUl9BkW
HAYHQg+1Gvk04CqXF6ndYg4wccSk8zD6VNEc3M+RXg0ykf1hXWsyhLxOnNhv/GZrdC02OEvJU1wF
5IhgsjXN2cJlLcp307YRHM97k5ZNxpaotPGayJKHfe+eTbyT7rS63curRU1RVc4+rcItgXnXY5zY
rn2PLnIa+rwdBiePUI2v3bXsUcHcB/SVxDHrW5x3rqroDJx31my3qo67vph2k7gi04ZH4C0YW7Ue
7LndJk8u7hXIGCPcXB/bLebpacLIuLufoHTXzvkaMhjoQFcc3rFGJueESOseqJ2j8VvabmK4ZQOx
WGNjo4bmJxnEjpWgINlmDxMc7mFnve9bd6Cqz+xH1q9NdW3rtiNnkGjZcLeYFJ5bB4SjgZWwSiLV
yw6pZGia26aD++rU1jWwzWBgYY3Ab7e7bjoX9El3igAznAJDHB+shuthvrowpu/xN8XzmjTwVh0g
Gg9OukybKStmyC/WRYT4VBVbpbf3XcocOQmpwXWh4wiwqlqNiIqgFwdLOTP5DQSSlScFBgqiecTt
UvoA+9a6PUVjmmFyBKvYaPmg1D6N14DuNjuyonHffuDUsGMPjdQ4Tt5dJjUkLkgz8/1uj2WmLCLx
Hqqz6PDqITTLYDh26xGQ5we4X1hzjl0j3WlzTNLLyb010ASo8RitzZ3ELo+hV1fvS13MrQ/hHZHb
IHMYmQl25JlCfMt74jvzELtEzN92Y3XW5YNbN3oOGYm3+wyrv/nc2Q0WNPiQZKoeerTD/JPo8RCv
97QzWzmShboTzv9I13i4qVoPfufcwx4Y/rs7Xqap1+Pq+0h95Elw6nHFM1uv5w74wYdubZu2yLpm
sp83zVP6RaU8CJVDISweNZ4UGeqfIzRT40eo1mfy2wTllf7rPMx9ivoKgoikUF3a8ZPizgbkb00s
2JTP0RJwFA4bjg9ke5CMZRFdeWkh0jAFwEZ59B2q8iErYhzq3Rl23v0HvmB9H/rYD6xotx3zF8XH
7BNNgYsoSBBVV6AWzTgcESe+XKUDp7D0JRuc6u91MzegHCeQ7zxq2Q3THVHaR0POwMD61k2w8YXL
d5utD8kYG+jvYs4qP2Ri9A381OGU8zinDfksLFxeSptVaAWINnLsPoy64sfYdD59wPyJjE9Dz+1+
k3TjPCFgZtgbgMUDqCaueoiomrtKDVJvhciy+jEA+RIVG2vV+mR3P4MQDd5r6gvIGFZ9wWXS6ofe
oseUN6oe5gMJ4NUOR1DUkoOoyDiWJq5SvIm2GZK7bNEXJ1dmL8mPANq3qQspVpqWapnjZMn7fQuf
OjFANSnfFViLHzTIbeS5tmy6NeOCjKto6i4qkg6qcKFAdF9z7hlxn9IFsgenmnmN855vMdJ0AgKv
dnkgWeTOLW4hfrdMo+NFStlc9qFZxqt+w1b/QmPj12PK+yGBM4mB5FmStUSUZACONLck2Y8Sh5F3
uaFVZ+8XQKfkWCim+HDb2yo8iHAxQN3NTm6sEH18EHCw2XCMIuUozZ4h7Pthjepzz0YKf+yhStan
0SxJgUHDnH4NQ+XXovJNdkK6BtfMHiyaCVO33Gxdc2qchrBGBl41DltS7LuTOp9ghsRKZ+L0VCMf
+OQVJzc1pJRUzmQ326JJUlZDs1Wn+TRlHbsWvg4/M7B/ursUW0dd7Z3d5d0cpeYx9pB4RQlE3G3N
RLojd0oy87hGGkhyt/GCgUZ+h6EIyNowLyVQIwcN+S4YkX6cfFQf+rRjfa7U5m7WfpAPtYeCftlj
GRd0W3yRNjC6z7JM3i6sDtd1sg1fQ7127yUZTNHG7N1AjfpIOznKvI61BexkGfp+zre4ld7mMPRu
wjHAPS6c2JrWzyzZ9LXrgpAlljMr1L7s23E0Hb0OgC9mH30k+Pt68EAtlKkbeXSqFF/9kFdYuQI0
+dDEP1tXBfeRUsZCvrZqE4ByJqsPZXvRAzgPYdshmyJMEjScdefZpqhjWjJ1Zc3WJLpekwxsbNBK
fXxtmqSS9zbarDuu4PnHzzsbUlbIkK3uZsk0rb8ic1Xzgbo0Sk+61W12223rALPXelyH3CfaiGey
DDp+mMlC9AEyDWGEJIFlzXmKVjl8iRp4CXcFDS1ty9h2jcsX2iIVlW7hbWEG5Cg+r0hEyJAHGpb2
xyYomW/XbVr37zCl8kiHGicoVveAvUV13oEw1B2golOlV0YMbfduS1D7H6YxI+roOOJOiYqm5uf5
Ar87zFyl5AGkmo7eAD9LkjKRG5XnBLSp7dcW/AD1sFgndFwEWa/NtZ0tiVkOQRGBGePepUN4h9KY
p6iCAdncb6wdLOJCM3Kf3GmFLfm+R7Hqv/S0l+cMftsokJXnXxJL+uirwpQSZfI2UZggogndFFgd
SJbyalkR3a1ZtnJVtRGfGDj97ll4xPbP1s4y7UrK5wjnVTXSaH3P/N5tdR6lKSe5c5VRhazIkN7b
XWzh1wx0/+GnacFmO4gOToJPYWg2CcEBOplHeDzTfjuMK9Rdr2QbpdMjwy5DRIyJmQXCU7NxNAub
EbTmU0fixp9I3/SxKrPdIAXIB8ZYDRn4CfUHMr5uLsKqL7kIbFycf9c5Y2p/Jfu6N8+Djab1OHWR
k2dr5ULxxnbpTTmnw7Z+7SUFF4k1vbRfne/n9ajrWEWF7Jfkpp3rihUzpsnuNnRdVuOV8BZkQIsu
e2H0OiMpnRnkZJ6XHSq5IEjP1e1Up/OVrzbxNJM0OGQHdN/1QxiGITew68xBCqsXAn8x0U3H4AUN
RQ2H0+W8E4sCrZELz63zU6Rztzhv3/HE8+bXFdYm4rD3cdyUzF/O1by28Jg4VUizb1tIc2HVkUSR
66qDZeqNrsP0SQo8hJI4lyVDHrfADTzbYe8iZKkhjq62Hev6CnlAwq8djoDum/ekvUIJkMgvEyTO
eVNQWcftk15p00ASOlGsXXIsMkoKgagaUM1FIM7tvEnae9H5eC8MNvzHPqHqMFQtG7HVquV6itHB
uEO/gtBHMW6sv/arkd/RifmM1MOlDJYqDBDwCR4x6dOY1tVX6Fl0bVkrBMW2M/2dczEysx0CI/48
cNEUeg8wHAH+Pz613JDhbnbEDnemWuzNovXUfYNBtHuJ5t7aclsivMZs48/9kl2GO73A2b5l/pkh
l3Blvc/I1YFrcls+eK6OICtLlnfa18gNMKpcYXYnNvRrEQkt+juuu/egI8CBUVw6PSB+m+ceyVie
UiDQz2ilS3tLZjFHj4QDxAdQEB/r9byyunYDXsoSYgtGd9W1hy0mouOHTrD2XT3DG/6QgOYw/7qt
ab8WUYPO1VdoNcCg1lBhs8PYpCHF0mzT96ZFPXIVxs7maYcAqvN1MXCxq9Ol+SGosukz8UuzFkHZ
BNUOz4Z1y7tVDNGXtk2q7+KSmpzEBpb5x8D0i+sHlyHdlXOCZFZl/XKS8AQRhWRGvUwUWzYXsOwo
YAsSZ4dBZuK35l9PdjyEIA7Qt6wylDIwVT9uKff8s64jCf5xKyt0BiOpoIxkNSQKSiQlyl9TNk0/
hmEjCeJc1nTjM5TaZFekpvHk1Lks/ETpXO83ZkirF9UMu6Tw/w5reqsan80foypm9CWBZQb9idKy
QWekq+mtnEyP2BE3oUjrZPaPRlZcg2qE2VJWszp+bCPG0M1G6hHfUA9B0aNcDUvLze0xOaxstWs+
qGV7D03kJPukjVzfRVFmP4mKJx8BoHD71VSBLXKKJhTG26C29cAyAUHfvVv1Jzzz/mZMesDaWAcD
bmicZNN5aqScC6pH5XMdVf1nMHW3fKZg+WideXZjNh09cua3Oyb3RhynCtILh4GG7WqGrcRVoof4
nMEmGTFvJPa5kTUND7qewB5eV+j95HReKvfeL5B4/QoBERRnNvis+YzWMOE5WwOeQ+q7DmFBkoRM
yDg4+Mcidh+bjSFJJGgl1DWyjI5GkIfle1QawODpgYoafRMPe3X4lHCzt1epjvUz5Ne7/ikVE0jg
GxwYnlrcSE7aNdFLgbAdnM8NemPkQfcNzwqicTsfp6ny07Gbq64p0oxr//2CdT1P46DUzcb5PuBv
9JF96pPMDw+k5h4JW2jJUQgdTSdAKLl/h1b0eECYGMejobSzZdqsQwK4HIxhD5OPEUSgj3GNd4F2
RKXppFFue4CW1xDck42abi1GuiTDdRStar+C/Nj+M6KwTcoHWEPe1Pu0YftUAo+j9/Ghl9lSzLPz
12RKkHA27XgTdEOfgF6ewRCAviP6HBBqIBmvPkc74ORHAYZM+Ig+07biILJx8tMJU6ccHjj9jvaA
HRY9nkdMKNqvzT5bVeBNgfAu+gaZOSLmsKqimSsN/XKIF8k7SKQJXkjP9HLepmwWVxy23LBGrVYm
2jyikD08ekkumzDq1rqGu+KMignBpy+73Up/diBlyDydNjdgG2Pe9bLg7KzO2ri4LlcoasdAYqo0
S56nDBlauXppmoJnKwPXx7HQP7cMMjVlDL359vOAhkaWq3Fpmo/xtiN61FHEkmvGE0ULJdMhLSd0
w9ZiGle0tnKQoLa67MBCix8yPRvxDoYg7ZoHqEDrwxIqOuUh3TNkMFIn7kdk4KqQU1A95Dt42az8
qgna8x8MH8p/skhQ2S21ycCLbOB9+jjUPoZoskZR0LRWqacAAn9/TDsbq5BTkO1XNDCbca9RqDu0
HLCoNySFsE2vZnhdS1vdNVPc7ucki7fxTmr0aXOmiYdeum7MS0xJ29ynezUC3FPF/XhaxBqljyDY
cYY9ZcjuMf8Zgz7Cv9GbI+BiWhWYqtDl++iVjWCQuDtxjga0Uz7Hg7q8IYbCp0yM1B1YiyjA1P2C
/mFfgF/h7JJDiyVJb2KWUhSX1EXjqQXOYv3u0yBtWTFWuSuPeO1LQ7XuDwMhYi5TONK4Pp+NCs0R
1eAgb6oM8msAXw4XezC4pU1l17Ryu65czEUBnkgtaQklhhgbqq0U5tkYhU71NVs3siNncTo7oUkw
YVo/I7fL0YdN+hzMwr0rZyyD4ZhtSzK/8Jb2Q4TaIckcgd8tREx+1b0awOfqMSFzOEwV8sSsiAYj
r1iq07Cd+0QQ8QzNaOVuPUr7TeODt1mXIQfZyPRAeTtsnyJ8GhnlTeLItBwvatYoSFexr9n9cqmg
b6po6jckX8DLQmAqVHX9EFRiUayYhTBs8KxHz4oXmLVQVKuxVXL80QZU1wDIBa7iF+PWaEYywCkK
psmBbrvCrWYy11ZOi3igCB41UkXR7T/7BtOIr13np/6Y1dkYeTxdTUZ4MTPTvsuQ7mMvp5Jn9KiR
Gs0vjc6oF7lLJNSaPc8W8SFBf66F/Qv6/+67NNnSP+tomaLHqcbA5916KVShWBDEkBZ8naFrDNqc
NsO5UZh7YZFkmhwNR+HDDvBRXOYbMABr6osdM6QJlW5reMvLmDInbrzGJOkW2bVgt0iLMvt+HLre
XPOa+OkcLfBK/0riuIoLdsnZjsukoiUfeOqj2ymGOtW7aLFLixgHGfpCIjMeD2FRwty31oHoomjM
1w/7AFxgIWKLIU9LhhESM6aO3A/BrK4+EG8R/Ef4G3Trfh3tsO9Gygpdw+HsdU0C8ilYXBcJ39xy
CtMoycmgy+6vhp7t8TO6ipRetz0mgYWOFQAABxBPYyNKrM0dva1LRy06ziZNl4Iw1UU59twd0zZk
mDVSyGMc4wTQ6vnYRgnmPWzEiCfkAyzWRB7mTdPSNJxmJ7ctcj/pbIviEZJuqV8keno1vNKmRSbd
LU2Mtc/UQlX9hdfZom6R2Lb8ONBmke+9x2imHGrR1WAnApD22I7jwG6qehj7917gwdyEVPT2Ol5g
qXO34l5TOJqHnT52C1f19dYZ2X9EoddWaxEvyJbnspuEQts6g0ZbGxcLNrOOCmh/sKBLzAG5kMce
cMCLhDH/AgXD2CaFlBDAVAeFUZBdzkjADB6s4502jzinRzSeAcbBKA25mwzvCR47yFWSNv3+EdOT
ajuu2MlHue/8FkU0i27SqJJI7FgM9br0MsYT6VXcMaav+o7P9HYfJlB0kzRM7otvFwnRin6BdMjR
1XoLTZ54RjlmnClAV/FsxVowNDbsV7VCsv5xguyCTY8XqdcEPY2NwtxdmF2uXSGV930ZlLk4yjnL
7qmpsvGcgVzuT/OoF1LWa9DjbWqhU4MWaYx56xQMX44tmvhJHtkkiY6YUbq2HEQtUXbq2WpkSES1
5NvG4SJ/U+11tz1BkiFz6L03ldl/kpGS+rvup3g4xwRUx3OMru98B3q5cR8GSFIjtxlptt0mWWTD
r2Gmnb4NoY4sGnxbKopdIh3J0V9eMFtprQXYb3bZ3RIr6wsXYBx6NriFrlz2NO0LYOMZZuZZdsGo
ruIoAQ++H1Y4A3+MfV/bO+P2ZLzmsL3bL2+bV+A6SBfgDG951n1Hmy8iZUdFpC3EWlHPFHbEalcH
ZNY9DkgE0kuZ7432DzIyKylCFCUGm0XMBnQJTS9PUGq0q5BJGCofLF+HCLz0lrc/l8v5+JMv4NlD
3oDW53mSIcljxLvhPTEmddh7NVWzy7WwIPqjxQSjKN7EbVySlEaA15B6ru7Thjt/RBiFFuI6jO36
4rpNb7fTzhX9ZLaFZShe5m65DoHv2yfBlV4fLhqO5GTVUuUKYjdzjmy0vjTL9bbizMUA81GEIPm1
bcA0uMegREGDAbnxjtbW3KNrRWFcmVH3DcTVWeQgFqX+sDHdo2tn5uYJMIkEGdEKU+anDshGnIvw
2IB2o1xFJZ+5jiXg2mOMedZ6NVZmnlzegu+X5ZMAjoAUmH2b5QWNpBrNWzRsYvcN3Yq9jXLmkL52
OUWUdeghDhPYHjlE6lF3HjfQQ2EONG4Za76AYR0Wky8eJjbzlVodbbvCz9APRx4as40mpSENoBzl
v1rjIM8bUXGFSRVxRQxEkM0j4eaqgFAy+Ujw29HN6ptan2Vz6f3WKL83fYmZWfUwpdYc0C3YFyCV
oyo6/2u1bPEWbDacINS9bWXMumnJ99DQBwysxqVkFcjfb0MwvTafYyEb1TTa4RDLz132ga1vg3S9
FhSiA1kxrsF1Sfsk0LRo6RspNK9N5yaoNcqq5fyIYzJGE0mu8Z1FtLanP0cv/YFgFUYGv0f6oBWW
OiDSMJmIsP/mZmrdjfLRBA1EazQaTunawRaAyzl93CxatyiwuigupmjDe/rzm7igiv4Z2ugVsKzG
iGZrI8OPE9xMh7IFM+QO4MG5QL6G8SNmceIvlAb+CEz1CgtqZoulBkzxEYIAM3/vwlQtpa6R55Ye
JxPUSaFIMiAr3cL4F0/4D0CWr9WJOuDDcJqk9MgEPDkcZGcOM3rNf/GB/ujqr9BnGo5+ljeSAjmi
vvcmefZCV38BF/+ja7+ChyJNn5WuK3oMsP3IGxPO7TKQN178FcLMJYkbp4XRI3rQBwxS27xK0Hn8
8wX1R3f+Ch5abWvrqGzZsY4jizN9rfKkwen/tqtf/ur/4EGnvSZAB+G5pLuCNq+TcJncp/d/fvE/
WKEx+f3FmUmU11uH5dJwmf606Cn5ImYhha+QSJXO9QI09glMIarfZM9HXuvZNKL2HDJC9Ag7VPop
m4297xK0V//8A/0WXP/J7n6tZsO7QNAWqrOjErJBB1qOwWO4gv9eQuLYc4bMG/8yZsnIrlrdfej2
9kOClUZPlW2XBrVK3RzgzvhzWwmsm3PHkZL9193924/t3+uX6fG/7sP+53/g6x+TRrFfN+7Vl//5
YVL4/z8uv/P/fub3v/GfVy/T/Tf1Yl//0O9+B9f9x98tv7lvv/vigLzchXfLiwlPL3YZ3G/Xxx1e
fvJ/+81/efntKh+Cfvn7L99+qnYsUfSY9of75R/fOv/8+y8J+oYizS7x5t/+51/5x49cPsbff7lu
vpm++Tb+/IPffPlm3d9/EfxvkgqoJXIpRQzTEkQZ//Lbd8jfAKjHqJAQKslFEWCE+2nz919S+rdU
cIFfyIiAq88FWWqn5bdvJX8DeAoqwJRTgWoQjhz/9/5+957++739y7iox6kdnf37L/w3vcH/Xlcc
OAEiSAqGGS4Hy4PXhJBYxV1dRWG/UgnmOMWwxNMF45mQ5mAXusgiphX7ZOsQD6U1rHUHDVPYtagD
ROlKa1NUDZWe1/fo6UhwRqmjRzdE6g6da3dMfOOeJqRG+ZhMvuio2mWuw9CeLh0U2G8yVQJp509e
LszfBSr+D3tnsls5kmbpJ2LAaByM3JK889U8uXxDyEMuzvPMp++PisyqzASqUQlUL7rRuwQS8pDu
JW045zvnn+arXYkWn6QqkzuLSWyuBxEWcxFgynB8aZXq5A5UIn80y95a8NeXZfEttRpyR/9t6R4q
FZNerdJkwuSILOATJ02do3BLazxmY5g+joPVHBsciyzQ5/KHVVaz6w+hPnzyx+l+5nRQ9zaVB88K
kgXLVwvz0JsKPTxMFt05vjbZU+VNZWHsLdMeo31r0Om4T9bJrBgsHia3Sa8jcmVxYxZBpOpVnGUW
GpkXTjN6T+pkoTqmSjfE0Vyp19qFrZmgG9qTPftJXGo/qyF0XTKMS3JFZ04/mmJIrp0UpvDaCjny
wj2Q6WBOTjuSXxiqtYOsbTvlVUyz+hFN1fBOxyHdj/bQV7/lqhlfsam2UbB9XV/DNVlu5mnsIo+1
vmu8oXMXxLd6hunV5HSvrdr4kBptQc1PrKV+lsZRvluaSfvRNeZCjUVjd9XBbDr7XpNWiG5tcmX2
1o60go+amD9XRj4ucJiCjllztcFnutzRv2xO5TkapJ6/r6o3wj1ne9fChVnTQ5JQUM5lD7nTS1W2
Yu7gr1zAM+q9XpdjINuuua+pxrqPqUo5Gn3VPMapI26bObE03N+0mILcspxdZhX1h+DCcivG1Bj8
pcGaqWqVnemvl7gBWe27M51ECJRjzZm5XGhvbKp9ZenLPo6y+U0tIbBoVLrHzsq617mukjfTTbmq
Gdy4UU4c50fB9eBJrxjpV0Z255n9PPqZ7k53qe4g8mUWYA8tLzfcuNw91rh7UBCFQahPFBfiKweD
iSMddfxKE7DvjhDCeqMNcMQVvetnNvrqKIsYgI26wIMl4uK11c3arxzjxTbMwkNxnNkWaq8ZL6Pk
NQDWSBav5Qr+6I6WcUpi/lKQKSdISO5cmrAVQdgny0sdwRbZwzCfjZ5LZKzW0W8Y7LF49tK6vk5q
afQyGUb3uqWvD4YcN/Emne941g3YxRSzIq6s8suZzP5hCGsZpIOlP63RtL5qRWsfsQMXdz+lzJUG
EKrLV0b6yjezSuvXrOqHryFu01elWyec0+FoZvzbqYC382Ek7ftFFs17I4vuoSxM/WNyEZ5hWpX7
JJNB+GXM6Bo/LUAGuABT+g5Gb6S7yVjWgL5z+YEd3i84OZ35ImUT3TH1MgvaaSx+zZSuQroa9s80
1rpdXJDVDEZI0UfDUeFxqUFNk6LKP1UXgvNVjaBkr9cwc1JVrngzIq2/ZIJtuz0Iz8aq1q9YTVMd
OJPIX9ZGqIelmO9VlWijN8c9TLSy9Im/U2vGIJeO/m4YHJYPgzmXVuDmeXhrGIrrM2vEY4g5j5+W
zRWW0Ly8UbSb90zqE9WRHndQvtQIja+srdaUb95oYpRPaT8P9PFKfwAf3yoaokcqN8sPuzV5+8eh
5GLt1Pm9SDBy/dotuUEzduJqyagH3lmTdT/XvUvnP/CLmYQ0fjsCEsjmGWjbpdlHphS9h4XYnldh
NXXQ5q2tB7TKrcd8caxmV0Ii3Tu6wUTEKuMlqW3LhEHtZfcYybw5JNUcV6ApQ/dExUays22jOYnU
tS+GnYePUW6a7xQ0ZOdSrOFPbeqeRF3M1zQaJsOrBVVibmtnxbGa8PHGbpUFbEg0nLK5lQuGM7S1
ri/G1c6c/gY0Dswerzi+y6zZvXWlBYCdrhqiWZWb68Nkd9F0lEnfP4UiyZ9jZrf/lKk27YBUFdkA
MCtU9ukMiWxfczkWqJkDpc3aQDQ+y2YGX5fLchyr2TpnaUv2Diy2JLchpkTb9V1va3tGqieWP9lu
c8OrIF/suKtwktPoIvvRPi9uWHzMoBwfGoHbQ+MKfufJMNpPve9Jf1WJfB7xtXfrhuU7hB2uUdvW
f0ZhNH1gRKApRYbVO/QnZg33fqIbR/RHtNSkz1Xj6eVX2OG2ettp44jTbuzBrrQlkMihpz6kDy6d
MmNfNdsnuuCaQKFZ1Z6gEsmTeMweNJrhbL8VxB72DOFgv3Vqt7l1Y5YXBFvAeS+exulDM/IQ56iQ
UNj9MnxR+l0Md3o2xBnPnZmN7J6qvAmxCvblkCwPGB4pO3vbtQ9lpQrXZ6xT5zECARMyQ7u+liNx
EZ5/O7vtOuwfRbj3HFsdvIZppPITgTREPJHDJHxyEcnFtZbJ3Us5ihebkR+v7NkZEBFEcu4pygJ/
AslYlzx34Ftsy31x49ZGvm6pUHCqlNxHJgftkifhKk7J2JXPRtkYndf0XXpZG02Yl7hcjLeqRtQJ
Zqs9JR1aqmd1ZXUeu6m59JWSj7Nw5Nl042wfdgLAz4lyb63W6X4tOz4Ql0XX01Tfv21JnC+uVcz0
mVr7kPdNeQLUyTEBISDcsDGvwBMS1RBi6q3HdB88RmByHLIiHKITw7vtmySOk9s8bLK3ytXtGw5s
jXkIm3JoKDV186sLzvLurskM6WX/EGZeHxY7mwOpmTzOkbkGblubz1pqZCfiKTmkn1F3m2LRqZfU
7odyV8PiH2KsovcyEtOrZOmEspJtfXHBUXZIWEIAPMr5KOc8PttJNZwWKOCd7Bub+VnouIMRM4Em
TcFICBT9XOTSpF5CQZifGyp7dwg/9VhqhnNsQ+HcGgs4VtDoYvwdWp27G8jLthyMdqLeHBij+yiT
2jlOE4//QC/JBZr82VyYIjm545OuMPhbPPjDaNLC4anRYcVKR0sc4OZB2Ks8yp8SHpO3BvEMMJnQ
QTLhMO90GrMfJRL2fB6gZ1K/Guo+2pWGNH+Aci+/auUAzS2s6qjDucuqnhZhNxxp6gs3bouDjohy
1fl8zXS2hIPVsWzX+XvS2BMfojviokq2z0OYSt1f4yG7TxdaXjzMzTCo0Hbv7Sp5zkWk7qPEDJ8x
+pXmk9c0ToM5DQFTWOaQxbDSftdWIZ77LAXFoBAJyyFqubHHJtni0XieGFTDR75n+KhXF5110xVC
XAsxmTsSOgbUPVaagkQ/FTq+icLyve+cvg6whm9Vkei3AOghxqSYHsKmSq7Zmut7xuposd/r7LHe
FFKi66tmUsEYVnI/FG56q5MJuKJ8TNlOY/ZYcWQQX3/TrhwW4Qws+9UarZwgTF/FRiCXUrMvDQfE
V4YM23Cqsxm9Nqx17GCL9cicAsRvY+CUuNebMh8ZjOLgK1p4dS8pXsMtSHd8H6les3krlsVgEZvX
M5JF86OzdfvFye0F6l6F2JTlaAOwVNYDix0zFYpGxO+8wGJvLFPJEVozCnbTvHxCwI5u6sxqWVH7
irTPWjtnyR/+5dpj0QfxFCm4W86bJ8xiLJR8xSbzTdV34lgXvdwzmqiLj0WOyciquehaMHRWSIwn
l+hyqyj4lvooMnxz6FSyU47B9GPoWu1jo1ieyihEm+45swcEdIu7VeXDe6U284jZmuXNAGHQmFB1
fgdBxyBMCo3vHCIC7102c0OLzTQt7sCSBUG7psmtwIpN5GsXBmIO9HGeQl+UcWccadXDbat4lI/h
KN23kBhZ6JGjcgsvI8cIVj40XXXWsAqZT1RuHBPlQW9dB9516G3hXFAfoP9TGSUvlQa//1BU7TLs
zbQyvzqGEVWHuinaZR+KXmFRKCfqsdt4OO56w+TKkecgvZ4T6yubXs5gI+ksj7wzhP8YDD3Dmq+c
NVj9L308HlvCchfQVvONZcl6tJkwAfYWupdyXPqnecm6jNPU+jZBeGoeXaSwwGuV9n4bY4B5LEmr
/X9G/LhJ/iQ0V331/6p+/JNg8n+TREJRreJN+98pJM9sr0P78U/6yH/82F/yiCsRQaSt68KhlNj8
lkH+kkdc/Q/dEq5EMuH/V/omnPxdIDH/2EBmckT8CHXRW7T/7wKJ/MOVrmCWOLPZgdmonP83BBLz
u4PsHwQSR6CJmAb/oA26Ybv/KsDVZaYRkNC5noTm4g9ZLz1t2gIwDM8GFf7hwJN74xznvtVly2Gt
+t+zlND/3A1VLh5DnLqd1UyfPZCwl20VRf1sDwE2nubN7PpPWS26C5mxlJPSUgbriJ8KuvFg17xz
OAjxsew0yu2j+lbVGxKckC5cKutH5dbN3h6WR7pofxcc7vWlzHi5rM4vXXyHNdOg5I1buHTpWZXW
/IwrBo4Q15iP/bLYHp8h9edVNP5MuvyorYQT8nSMOWcUTAmzo/sICzlIMAIxgJeIvTctr7UDnt+n
5nqutdq+xmWoZq8mTANbmC+voRs9iyT7mOL2RyZ63s+xX7jSQldAOc9h0FcDCVFMM04R5vDIOfCQ
bcOdajD4k8ysYb+GSxUwQk3bjphJ73pqWObJSy19+NIHuPQlgsRsDfXAwFrBZhvv4qbLDrBchV9q
TXmjmM/qQ6+HvwzIvKNttgyK6Rgj0tILTB7BVSfk/vos8sj+BTH1s53d2DeKtfFrRBFfujn/C6Py
12C72k1oj+LkTkT5kn5KA25X5s1KP+zeKqrfqd5PB81t1F3LZWY/RUbqDakOAisqTuZKmTtCTlh2
btOem2KWj063ftaQJj4QTHM3EZn+YVTLD9OpY59yfQRxNxVe0Ymr2WTDrt4KbuFrQY3G/Cspneyo
Kvcns3mzAG0YprHPoYcmXVEhVYgzOwUPgJPlR0HQ+5Ko/Dmx7We2p/QMSQinHs3Jcxe2XZApSQFt
k0U3TBDOH6eetIZekMxeM9fYTUnc+eBELwpXeEf7onXDPN03nlf39wxEsRMaFNQqqzYo+rjYjXX3
HGrhc7zMO7ua0SbW7jUl9BqMYnQPXcloSSLq7zluHPxo96ijN+2yngOlnRodMYmqfxXRWPKIOo90
azwTh7svDY1nlvfdH4kBetsgPS4Oo3APMwHC8CY1ZNMeihU6tgwTMGikyfrexDbd6ZamBXGb5Xdu
J/NdZUbTiaNNvbd5Bu+inmhoGJkJIdiYjSiOWc5cwtR9jeGfcqJj/LZxQR1MH7vUxLWtuWdqVvdK
deb8VBCKOU+2I456z+2hN+0XXaSwIclYvILrJD5fFTkwayGnmaXwyyTnw/e2qsddmMnmmvRddF6J
a4Igj8rkaGvBjAxh+7sClQkQQMkYzZxy7MKcH6IZcKeeTQCQiZZusAoIPse4E23YBQ6zQQnLTMnD
RCTXW2pnuBMps38It6x/9ot7ZCph49mTqo6OSFEg61V/CGmbDwYtiTxqHrn1Cbf2BV1bUNRRHGT9
tCEftZMcOeiV+a7Ii9JbNGFTCqUNb0vn2i9DNKhjw6ikt1yo0NeESvfWKFDyTLLlYCbLpVFW8uIS
Sb9GVWOjM1mrfMxXXbvlAI3uzDifNxqD30Tc9vsKxCfqovJYd/N93Y/y91iTMErQWwOK/bvVM0Zb
eclcccyLwabdrv5Fgn/6TXChuFNAgGd3sadj3zvQxFClvqbybK+v0RvFA/Wt1jrQZ4UMFLncSLi+
WxbCJ3ZYUTPYXGbYDd7cjfCgbowK1jFWFzMv0vtpDZFN9T69Y6aY7ldiIP+TjIcC/OStFMMAsVm0
t32zDH5MNDkYEl3uim7h40SWfCHwku1JL66PYbw+zFZJCwEpYA79U3Kq0+GBfUg7DVXY7C1hRb/a
qliPes7QI1Rt5suXs1fJsr+jLs4KHGdNYACdIShlcp2dOHtsIrN6sFJBojQxB8Qd7g2WomDYmJ0w
WFbINZ5dYqmapQ1BrzVWECZOcRBt1l5nra886AvlEZsTwagMVuFkY7fjMqASXPdN131A0vsz4Xjm
E2WgptclZzGL2thlYzr5xtCtu3EIWV7CjJaTMnwlG82uuP0OMrcMCqgnF1TPlW/OyNucW9Kmnp3c
VkYBBVj5aJlAMEY0/dKiAeg6Laf2WdbOl9WlN8U0sPrqR+IvRPKkczfStE9AEp43SJ14epRTPOxH
J+N6oKWPatbrGwUO8Vq7jr1rpDXtYLZfC1wyS5vyAGOlLX1bc99XNK5949afyFNwH13+TA6crPS8
TEGZi9t1XG8Kl7JCdrv0BStJngaGUPnt9k07tNvvjTGCvS9Yenq3/Czl+mtQ1c9R0WfvaStOSi5V
vFNdBU+Slcl5RlJN4qa9cZgahIIjHxLdhuyBINoYXBk4A3fwdi2ZIpQqCJoxa58jxlEHaxc1B7tn
vKIxVx9AB09k97IgpOnM7q1fhHqPk2l9FkNp+cyXIjFuWLhXWFz/017f/3PHXcPdCoH+azPQS3AD
//Gg+9cP/M0DdP6A6LbAKqWQOItb7+g/eoBK2hDZFsWSm9X390Ou+sOSQtmurrvSliSY//OQa/7B
T5C2gPK0DKXjU/4bh1wOzP/EjiikW8cxdF03Lct0+Sf5S//RlG8oiO9Kt0DVD3XzOd2EoWGJyzOs
fxeM6TwcRuZFxFmBkISZ+J6oorhKE7kJ+2jTnMpNfoorM3tLN0mqHFf7RndLGnbAU2LX6771K0Jz
9ptcN+FmArK8hlnMO5Ft0lfGqn2INjnMNezqa61U/xZD4PMKGLK/s5U234tNTHM3WQ2fJttPm9Q2
t+SShk1+MzchbtE7ThNu2Z8gDBWXXakZb+yB0rzUm5CX5i6aXuKY5XP2rfRlialdEFnYwS0zHalT
RXKkwKQIX+YqBejaREN7kw/hTlASU40Uid+oJXklTCZewm/VEUqOf9uoZsLreQo1EeWr/HSjkOMv
lT7VmSxuxMaImLkFxhnItkmc4lvtbDfhs/jWQGPbaB+0mj4ED7dveaAFI92Pm3Bafmuo4ltPZaFE
W402mZVmIe2RjB/aK8Ll9FH/pchq4UikXlua2/hbs22+9dvwW8uNNlm32wRee5N6h2/Vt9wE4GyT
gmuWriudLNYp1fWI0RwmSYVCpe5RDhZK8oyN+K0t27GFzlzmZntMv9XnyhWD48+94NuFrEW5BPNN
ftJNkBGlR79mxl2975SunqxKqP246dxLnycJn0Y4HAZUyD/rTJ/e9U0b12pUcmvTy+1NOZ/Msr0h
opha7K5CaXSXiVTbzd+Se2amUeer1LbOQ0TqJ9/UeWp46l3Dghv5VoXcuTCmlmYsFH2r78XDipF7
MTa9X7cH62dBNuWZoSf9E0oJ2UbGLImH5NsuIGm4WQebiyA2P6G2N5lebS6D1TrG1WqUPAlcU2pc
QtRPNkKsiXJzKUCWMSx0zU0fkm8bI0NcvIZYG8Xmcbib26Fl+B6qLeyL0pb8GMlW8jFVunvbDnxQ
nqVKBzNlbHC/ShBR9kg31TgaVp1a9zp569LjRmGcOtzcxTNs/PFkGdtHrWJjc5Z0txkSgVU3P+u6
CIkiVEXQgM+jtLWz37rVWcyDxuj3sAqsxbzrM47pyqJizeWygDH9FsbJrhhkt8d4bu0tVXg1hTN9
Eoz4U9fa5raw26emrb/cpAtR4zE+XQDauub6sJrTXdFEgbJqk7z7VhUg7X2V2ENxF1oFyr+t1Gzv
J3jakoBC53iJOS9eX3XrYabxCtMJW/HMzc2fhIGnT22DgSjXF1cHvmHHazi+lNDLN5qgToQ4FJPJ
TOjoh94Ow4j9dRsNtwotZq/VZucn8fus9HrCciOPaxT/mZWsiQGriZx3FSUx7tlZ5zg+GAMfDkhD
rpHGhkyw9/yQJbyKrTjkTZgG7TpZPdmbyVHZZ2KUA4kEYpz0alo8Fv18IGJjHsRoip0ZNVSCtEib
4yTEoYjMIqGpIgxfFB+tP/Tw01NNDgbeuWiDLKYaiwt1hK+W9sOepOt6A1sqnhyUz58OzQWGJ5N2
vJDHrE5wr9l9KJ1wT6Az+aqTKezJfFDawO1QMBx8IdybGNo0eyuHEa9kfO17bebi2GTkfKkYzJLj
EiZEKuj+4AzZKXnT2gSdjcxNjm4TtT9M2WLTtwsp3RAKtqirfkfr/Pgkcr39oXGNPauiWQi1pEod
ugGqmM+/u0+p0hoBH83hVzRzjzCke2T67EXPsuVKp0r+o5VRd4mi+TggWTwN9ZidUi6wj6D00Z1N
b8+d1LLi4JSlcd+gQCT9qRjH5V70SRKQdh5fXNcY98C5Jb1Ds2pOa1Zrt6IrRX0xeJruJqIY1xRh
FHeeVMCZ2No7fEX/rhh29NokQ3XDx5w9FNlq/uytkmnsSN9z7TfQ3HcRcsWVuQkIlZL5OdjcPbdj
p8e1shx5ExdruQZTOCQ70x0u+bKafryOBIE0Jh622kjwy8WsflonKv/ztVifwhVHxw+pVXhz3NnY
LTWsJrKwcVY5pT3ekK+139lp+omPOZx0Wq2ptyA99pQTU94P239bJYlx34Og7qMiW45Sr+0/AW6W
gx3i7O+cQi6+UeZID7k+c/00DaoBVcctzAPVOIwT233dNsSOdJvqmWx6jN3OAgjREG0d2h9O7rpE
1JfFtZ+EYf6mMQL6pYebuq5wcJmnq0aeazNsBsx4Qz9FwvjsFpEFVLdlv+iCZboN4mv9QoECnVom
Rw9uE02rrnPtpDfS6RbH61hbrbj4IHKc8Bhn6W1qttEdNhTx1XANIyD4ibITDEfAaopNDG23RGX1
oExH709Tk6zPleTw5s0V/WoCSOkVRWN8YVbPJx1j1XpIwo6bYpQbd1wXo9/w8NG+tOOe26yciXx3
IFrM63RRLXJDvqatmp4VS81HODMd0y+BeOlzywQZDJVa9Yta0vw3nSyZz7jDPCjihIQohPt7nEpp
H9u0Me76pgZVZxGdI7wwp6Jgf62t8YcbRr8I5Bx5tZxLQ5x2V1BG51GpcSwb/UmsfM9LWk3nBeze
ytEGBFy97wzTeirTepGUCfCSHBkjbF3mMrWfxpJ2fK0bJNWPbn9y4pRDh7Vm3S+Kf27p0+OLAoA8
ScjzQ5OymeLqaGlAN0IelJacHriEdZz3BFsr2gr9g+H0QgUTPbgrs764pLb3uTLnl4xcdUDXm+Vl
ecnI6C43d6qytGdnVrvZRImiw8N5mJDhbtspIpBuJOmbvmDMj2Sfd+1Y1p/UWmSHKaPBKuK4daRU
wP1BrGO5C3W7+hw7Oe8nOlpSbyJ4/gQV1RwZlsPBRHZHIuXxNa6GZU85UvOTyvH1MuuV/UUOllqz
0LqrZZtcis3dLGWjcyFaGCyRpI6kyWjsDKSRUUsuOSEb7BDckq8wFNN1XdIoCeZCo2jGbllIprn6
RcURTI7WETQlOXqYiim5t6m/21NF5u5Vr2f7FS/0Bk5LOzAnsfD1EH2q6ebPwl67exSP28Ex+qNO
B0iACcRxoGcir8KBvTY9pUfLMF05dCZB6pbmXT7K/BjWLOsUojBlh9FWQiXXpY9/EUP7rHX3TkUR
KlnVb0VcUaIeK+rFDL+phb6PG+3CmojiI/M0fsbdomSyWuYy8cU0ICfiN68XRRMDflevPTpiMcQ7
SXlHncewmylSq+myhTg3vzhkkSLGftFf2aSawzz1+m9lTVFzXtEIGhodMvdzHBxd368tu1FnjtOT
m1uKLohhvRGddkPZLgbeoJZz6qaxZ4guYxBp4nKaoxKB23KaLNT+6R1cXWsZz3mmR0d60DqOlG4Y
TH16MazavmVF6JHPo+JqR3IkCx0ZyQ/AbeMqC42WY86Z623b03KPK0qYKudk/VS1sr3yvloDZy/K
ELiqjw+ZRgWUtyjbuTE1vRfwKeUqyYGaggt3prfBrJf506rbkqZmMm7vZRYXV6OjNA9RVFq3RsUJ
hSIXCBwOqwwqiSO7us9kb9l+V3Qh4qQ1Qd9kTRutu2jFpfWysI7fRBbrl7au+5QiQlM7R4ojBt7f
qcry4nbEF81pfituJNrWA/MH0QJnxUgN7OWy+CRYrf+K6sEhdp6p9yHWh5ODDzp4tp1klU/rURb7
YUkYhIQtLgtBtrkMtAp4fheuk/NMJRTdKgg9y252lIK63vrPGos2DhcpBLkxC7QYVWtJcdFZtT5A
wHvPlYRPY8eMD0AThY+1eGD48L1srK9GH6NjWFbaaU5D5ncW2knU8dG0ktsVed0b7boI8jTqn6Ab
aIKj0/AQWkxiypjw5OcmQ+G2K4ZSxZEPYvWJm5cVZ0N+k7MNUiYWPpIE6V7as/D4IhKPK/JW5uZq
1C/Gb2475T5BmWf8QeAfxsppHDs8roPTvk37O27n1FFODlMFuyYohHY0EsqnuIz80kLjmlkphQPW
Fvgi7EPc9SdO7yUSXM2sDhWWAho7oClq8bIq7k8qK9ZdMekjynS4IpwVBvLb2DPlbOD3HJl9gPpK
lTJl8BS60DAzfxRjE3RDfKSxIQ4Ygny3Diq7n4yCMbmxWG9498xDbWCwsPUwk21asOW5NxnnlKqv
x7B2ssO3gBk19G42KIwbmEU7k4YxQUdxl3Eo1ZbxwOCi8IFUth4iWNPc6mvu4DSeyvv2ai8D2MWQ
8/k6ba7oidLIthvmeDQ1Fb4Ouhx+dGlZp34cg8tQ82dDliJa1sEqx/EhF2lBSUJUu6+5WcwfvRGF
l44cnwWrATU5ZRasaT1EO/A4iAn9m54QG0hh19Fc7GzDIJy5gRZsHOKN+sP8iRh7PXlaa9rioGV5
d1ZKQWqMDq0nYsM3yNM9GRvQISA7qKGzLiwwdDJt2MecU9O2gSAgFTZWGnHDDRKpN1xE/kWObBAJ
XS4gv0TAIUsEBMbiODZxvY08qdpw/MmbhUBv1fR/FEV8KOzZPswbtmJtAIukuuGcblBL78ADbfa0
u0s26IVuXgQGmgKn12iDYvDOGRn1TcoUGzTjfPMz0TdLE25Yzf9X3/5bPL7Qt9oixLH/WoG7/Yg+
8n+l8f/j5/7mNkPWS2xjZSLFScB6lK6/uc0bjC9tkxdMANfziP6nEGdjKSOMOS5lpUJ+Tw36u9ts
/cGoJFxo5DvSsPyO/44QJ78nT/+T22w55P4R9qTLA6nkv4S5VgfCe1zS4kSZxrIr1UdEtZEHFl3c
xiBOW6GQFZS0CFYULwcMAqGqQMz5x2xa6iZ1qFufO+eQWgRQ4nrCO+MGb5bOC7dNNyDHj1U7kAz1
6WXDajTHh7G1Co9+NgaA1kP+1MUU5aUuaLUTm+/pZoV29s3SrT1mcbKLVZp4/Rg+DBovNPj7TmRh
SyM1ahnVe/Tp2sB2hXUtjMX+UInONSNzd10lbS9z3PWGy03h9xNd0Xm+pN6YdmCJzsSRDwZbpg68
kqNHVA+zwJKfok1VVwFwkBZU7vTQUCvHN/g5UdAx1cW1GPTd0slH5lddqraOfKbD+dQKf9ExOJ8p
SkpXdj1nPci4faIeSN5VYL37cdXqA0f7F3ooPVubroPFh+n2tXFNaSxGNM9uCRccGo0sclk3N4Y1
dODeVXFI5v5PXMD1NnyFvMWpbcC642Y4m3qc39J+8WpbS5A3AzdjurQLswEBLL96cwS1s9M9iFkw
OzZl2ukzbbWnuMaK4r4BfkxUW5jEWbU1PWrL8ABVP+4i2McXiF6Lq1Gxqwc5B2z5XBcHPhrVcGSi
TO6pLNrH2Bh/IUYq7DMz3880EfhpVZh3ltFSaGlBLS/U/PhkndOD05sh/otjnSRXvGe2pEcja0wi
34Y5BKz4C3f6cIUr7vr60GtpdDfbN25hvRiYh4c1tct7tnXN78fxhuPKHX28HIzstyhfbnNuKX4/
zOaBwit41e6k0eQhMOCmaGovc7Kjyi3hq+pu27b/ysonpvjVeE40CFiqzql0QbPq9Z0JSi/Ghiiw
S2lLSBmQV8vmdhkF2/cESacQvhxqeJrlNHdIscWrzGtYhLigidbe/tvpqRGa11JC94JWAoy8jBY8
toeUVVI86hfOpB8ayKzS0j9oIk4uq+5+5al7QyGuZ4riTOXIvQFhO5Ypzf3ysV1j/X2kDVJ4ScV9
f3CdJ9cu92UYwmHLRdGRWbTa3Rob1r0+rf0+cRmcWVJG+2dtNsOlb7MEcGux7Pu8Merz/2LvTHYj
R7Jt+0VM0Nhz6n0vd/WKCaEISTT2NPbk17/FqnpVkZF5M+8dvMEDLlAoRAKS6A1pZuecvdc2g3o8
UvJ67zaW5qUPgvyoCd/bU3a1e7is6UuM6rOjBKyjkzSkvpdxWO1GtwofoWoCFMD6szcLfXxD/lRg
dOiLK53kbu+6efqNAZX7MFkcS1M9SZjn5s5ROoV/LGeLn3B6olTp9DLTmoYz1v7scWqi4ZEDX0tW
dZk9Id6qN6qb+ZpV6VfvQPRd1JmyA43q22fftspT0nn9TbS5ecEp0B4avRJvArA/ooFiQMeMxlul
TrKvMFveUVTKT7oyrbWos7H6KLME7UjR8alPbR+d49KnLgrS5phCbWfU2nX61fMG/b43yTcUgSFO
GceyJ4aaQB99uzpxq7gnulsoHK2CGqKsIrFss9LdCrjVFyYsQK0avGUQkPW/86aa/9AA/WfVRoHk
o1IyXXYBD00Srp3fj08SJAyFWU/h3gvD9FJaVdHtY9qxFzWjQ9tAH1alANk/GgIJJ7zwVU/24RrI
XbimU/kE0ErbpCats86Na1ZYkGArO4x0fIwoC6UVhW9N0NLlh4lgX51cj4+Nnl3cABI/1O/piniG
xijo8vMYzvhyJZ9s5N2LyvIhAw9AilAV2dCJ7ceqknLRtn1257RgL1b92AaPZd8b2hYJtZqWtJVV
vpI5f3jBVBVRgOOW4zafZNAua/Syw1an5ojXXWAVb5qQKkKXGBZrG9bBk+lK7602oPLB7tlohnff
unN9jEsJK+OsIYRq3ri48sAYb6MsP2lmCLEmE9AfW/OeRthJltVDUEG7KQs8Bx0Cey2NhuWEvmMN
542EAY2awe3jcSkQBtaT1R2Dqji5EY8/ObgYeusQ7kxEN7Cl6MnQ6SxU74Q/ZGf3h7zrrY0WzuML
vHe0SGKERr5I0Zgn8X05gXTgRAvfZ+rdLRJ9biWcSoiydEc/0aN1T5yq6xMCUB/JtS6fpB4aJ3zQ
hG/avn5fCEe/ysRE4utH8DL5rocTwenRGcCAf2bWy/3OILv+YOzUWQvTNeVnlkJKGSo4HtX8pIzz
M+PNT48xP0ft/ETBlWwPxEeYl0TLh1upIkUfPmd/lnV3KREArXKnqt8J0MDXBdCj3iTzEwwegsbY
/FQHbpI/dvOTbgt2n7IjSFnN60A0rwgAkJxjaRUEM6h8vg+U9+DNa0g0rybTvK7QViqW1rzW2POq
08zrzzSvRNG8JkE30PeJJ1Dvhw5L1tBU2UvlTe0eUoO/LyHXH8kRhfDVON57nBrjsQw0ZFhO4l6B
gbIw+vz0kQOI8wN1i9wOiNA3XRk5V35au2vJXVgCuLfWUeS4IDmRkQF9CSoPDxT4OW4PX/C2PR8E
7sKw3bjfuJhZIB+Vg0OHJjSrcQfsO+suuRt7uBuVTYucvuC0Mmbw507gM4oPOZP28gX1I1EThp2U
zTLOzaTZIbLuwpOBQBs5Rh1ZgB8aj/IMfA4uXBK8/Xyh422zKBnkGJKtPpCdkE02Vp3BtukkUPUw
sS/zmB6rasw7k0zbswc/5UZpJjbzfHJdxZYAVFzZydKcgkzfKkem6VrDsdMjvijwBSYl2rbOUT1J
zHOXkMGC1NZtRl75rDdpUyhEnf46wWWHsytzwdrCDMHnFhNKnCqzMe4ZvPK55OrmBiOKawhJa70e
S5THOY43T9/EbvPUdCdnMhVKDR0Pi1+erUjqC6PRgiVnVMIfqgg1sQvcTgQj5k4fwkdWUN9BWUMR
2MXfysSHHRL3PwRpJ0tsV0vPH41roKv+UjQ8o05dfY/c76nS/APZKRHrDYL2rmEbMAtMILGrb11Z
3Cxf3JNx4a+G1LvSpAx2MnOdZUj6yJohtHtsqOJ2KcjWJa3xQ+Bp94Co2fMiYZ409v+1PpU/iIQm
1CJEVBbPJNxK9le2c/K+yujLtnrw82RgIu8vpmOMBmox9KjSBP0ykGhq/PILwT2IQY/OG0AP+LVU
gCib/7fO++/Uea4PBMkALPFfl3nb4nd64n//xj8LPBdlBPYdXQiqPMdFIPx/CzzX/M2xiZxwxT+L
uDnA719KC2H/Bg/f8X0xC5rJT2YD/1eBJ6zfPA9ZFAmcluDPIUL+HygtZi7Dfw4KTCN5YRgyPXZd
Zzb3/lLeGS7DWjvt+3Uc4vAcejltgrghm0zgjNOyePib4PMZ1fDH63FBdB06nwcfxs+6jjSke+lg
SMNAVsMEssKvbqKoGnvKt5++g385y392klMl//FarAlgFTCt266N7vp314JGYZimlP3aEHrCQ2nb
TM9CKfYMRcpzEoTduSWzYZuCQUHdW/kfTlp01zofkn0GujFbKC0RB/IrStqmKKASBt1h9WLh+ybt
iJPXxXFCcWh1o/4+9pMdLGvBCYg8DE8yHJvSgarQLD61AI6v4yXiEeJZ021MF6fmsbEqwKIzbJkz
zIQMGafZJ1DSYl17PWNBD9TjVzto8jOcs9eT3DVXRZBOV9gt9OTR9YVbGnGMoBjV3mJnIvJd9/Vu
p2DBQc6SPi+lBfD0gtl+ol0p1YRQETsQI2iYdRahHJq7LScTVjKUPU0tW79nG6lh1xecAbrqCwoa
kLfa2bsh9wNDP9KL3PyUj85jbkdJucLtExymUJuOiLLz6zCkp0EazdoKdCz5UfmqZZJhkW7c0Gfn
23w+qgzQiSIfPLVi2Lc0oUidSFQh1LNlKguhlaAf4acS44+X48qyk7XQBmQJY/0aQVhfZAMC3lFF
mFFdZOictC9NjrMorYHYz95ik+nimrMQ50E81Elo3ERFZWxo94RJrYAY1wuk3XLrQWtbpZwDDLrH
SzggXL6iONVF+JXHtDnsNuYfSHFdvS92nB/Ja0op8gpZ6yvH4uKGk6FO9PRb3yKSb+nzL0UevodG
cs7yMFnBif+OLTBeCKzmFEbaNur1G6G3K2/+RBNT+ivmmQ+NiMMlwK8PWHknkQADJ75mSSrNVi9h
QUc9OTJGbd6QMhBOlImP2Mk2IGvJQmibLUXwl244yZrex6vNf+C4x74bfzEqP2VNeAiRsSDWhnjF
mOoBa9MW1fCC4vMog2TbmNpJpuxGpQ8IzBtmSL0KlApPsWn1+iq2gvpONfYl0opXgsRwb1MtLcw+
Per+8OkQMrPC8+psEsJtFtXA2ccPOXd0TY9ZzuR4jIPQ5Dun19la3sUYZXgxg+E7CUcvQ4jqkqHf
rLREyOQEGpHfISBtTlP0hYNFoSHhMFwCwZIAfacTMv5Kiq1TGcj5fd5AAIgr4HJpH9FwoMrPccOl
jukuqYIWVglINNO5tENFQZRL060qxiJLvtibzEYfNkCPijpNa7SmPKiMUwCfExe1CGr3sdd5p7mb
nTritijAS4alRbH+3831v7O5IiGciTj/9dZ6bfP4/fvPIsZ//cq/9lb6oCarOy1Q4o4crOA/7a3s
kvh3PMdilyOZ5d97q2n8Zgvhur7rzepG4ycRo/+bbbEZ8Iu2i5oRdM7/YGuFpfLLBgTCZN5jmPVb
Nv/7NYs6DMPEiXIj37Kw1bsK8zFGURy6oWcGVzPV6iNYNppzmlVgFwPRb7Nm7Hl+4iPCBIo8sBHP
HvXph19hieRAiShK6GQfkpB51JJcso3iNKxsOzgwGGVdH6Z3p7WusEawKaL/cobsqGGWWwGFZ8wG
H2tR+RGO1rpadlP0bBTWRwCleLZHH5IaQpiRpeRDm3oybFTZuktYk9E6ggzylIL09sDgyfRg4v/G
kThOd7lwsx8tgMMlrQjn+xgZcsf1+jvWEm1jWFqomGvioqSNbC+RnpRLi9yEFYjt5BuywRSgOlcN
MjPE4Rel5UenU9uhpwxfSNvp91pemGjjRbdSeXYraTa+kzDSHGIxZvueOuuOfq1HXJ6NcqJGpjYw
IRvaq0yHYaeRCnIswr69pwK1B5idbDuyiY2nkcCvEELdA3FG4aWWFj6/oCu2WuZeDTRETw0RZJ+K
WNzXyOmtG2ZVWkK6518jj6AQ8gWIo3eC6KFj7rr3jfE5djt1lXYkHmhd2rNwnt5aFkSnTnr5MzxM
fRtxqKMfzmifWwO9tgKkr8roIiWC8YWK0N0uit7tHiwfpYRbys+AFspywue/rFtHvTrRiKfBGssf
zhR8jSR0wFL3hxdplLtEIjZssc9EpRA3hOf6OvJi/Lxu77/O7pMTQRvWkWYg1l3AbB9WAte2htqA
zTSWNpE2pnbJ8ZbW9H19uoMIabelF2b7emAPTGTVHzLi0S59mqudy/gN462HhizXjLMa3c+gOgrj
1Yy5si58/6HWEJqmNlB9xl6uTTsdXPMUjvDCM2aG04IvIbsysk7w70/11odD+2Rg673LUyxZ+AfU
i0AZeknhEqxCSNan0WAHx85bLTmf9CsgJuQ5MCD3Zz0+5xhZlPVOl4G5apmGLlLN+Wp7thzGpw2i
+zmPrlHDUhbGsG84uV4cnLs4btTKT+BgR5HrbRhOu49+osHnS7P03ZEaRpUa6cjSdrRgESShWMcV
O51CtLqZctrOw9gWSw0u/MppC6R10+z6gSp+zhxCHA3Vuts01rE2T+5dPlTbzAR/4XpTeQ68wFrZ
FP52A3xsHMrtFDJ1ziigYwrabsyXvVGgXRq3wkqjY2izDZWtntzoH0SbUmNEmdTGwhKJtXEEOzv1
an70EFi/JVh9OxJf8u4mItXfO3n5RrH/HZA1rbH6VOfuDyQvznUKElIrmX9uKpEFLD7zX8yQki7B
eqXkJ9z3tXVPG2XkoFg1K6WC8SGkO8IZgKMm02fFMD77MO3iUkUTsiUq9qUgFP6+gDv+Ignc4VSV
TNsqcfQ7d/a/FiTaoXMmA62oTWsNEtT9bKAQYYVyzHPVmjxMuivW4BL9BxMZO+13y2Dx8Idl3XVq
WdjFtOE+JjxEYJgGpVEOLyH0dSYTMRaHBFgqavYCzbgWLd2kq7ddEY97MpBAI4qaUy0d0mlLG3O6
euFkb0IXKTaHD5fJxDisGPIEizGxybbATw3PQzbbxCdFVQs4V5Rja22RIBPoZTkm0ibajvx0gYKw
0gUnjmY46EkRvOApR2JJf+RE/6A76GrID3mKY5P+Uv69p2117KWh04NI9Hse8lKi7HcDjjPKiZgQ
9+YTDAPyC5sxhfNB9jonE0t6lxohl7eWkWdu4i4mty5wwo/Bz57MXiEYGaOtlgpsZEm9Sy0CBdkw
7Ncu126o0y9jxDsnOUt2Ub6suhGZ3YRK9LUigBZjlRcv47HB/lTERCyCOB8xR9r22qwkBAG/5flv
6JvWpD9tm9zWr7WbEtHVpkhQMDrmQUcMmHtqY7tFk0YcVWJax3gixJOp5kM+dcPRLti7SW9jtC41
J1plbf+ReGay61HhrIKgO9PxhfgEzDGJEbwSxkiaUa1bG+RGE1rYoNyaNiu4LcA+DwEtoTabuk8/
bG6ym2kRJU5NUEs06JJyfC1jlo1FGGRE03VOYC3p0tIoanSY+kz2QR5PNFSD8RuSDvted9LuyF9f
pl6HFZ12d8Kqn0aPpulejIz0Jw0Abwb4el03GmqmNNCWkuC7U6Xp8WEoEmuP/lstyc22XuzMN99q
M+5XEMAhW9jRLm+CkgglrdqOqg3spei6WVEJbP51wGZwVM7Y3LnZWB4L8ByfFKQaJNph3gbRtaVJ
lm9q7MErd6r9+5qOEnVRu4at/Noa3SWIs2Pbx9NFZOG5qMBXhDwpHHVzGkg+tRPIpZhFdRD6QeOk
T51KCMlALOtgdJSKDfFssbkt0nhb4ZSm2oxNIjkSOoWA6EEO04YavBLLhRdi148/RT2CrXTyhE8x
xVzxgG1KYc39dJElf0WQqyBiJSiKA9s4IlH2cvSeUeOsiqJv3ie2oc94AgmFMgPbcCLLGe8/KLY3
aN/o4L3mkdM+3ip/TDIDXUukbgzemtVY2tWZ2lCubKhG9iIyRmDfrTN3WINhW6u8Zpw89lvdwNwG
zwTCVV/Fy1FI50EjUHSfkTGWbYnOCuTKlPVjiesKBo5352k2cJ7M057HCJl0WXBECfXyk5ne8Fhi
pl5qtetsWitl9zbNzL95VvE8uN0V01S2znN5aaIKQ7QHrMlsX0VTPVXoZBZmnpg3+kVojPx83LDt
+ec8QLa5hmrnvsZAZRYFxwoEHT/QCG/NIgTpER2hhO/6BupGj/sgXE1WFpL/YBbZOgSNkdbxukAp
txG62hV2e8UaeU+qyQ82tOe+6j5qiiM1kP1QhiH8JGEhdY9L7l3mVuy7nMICuUZq7K7oJoxnuCuQ
bGpivM3RUpfAlpsULpVc9QMmHF9a7YVR67RwS9XPiOy4BBytm48sv95pnDCUMJnXrDVH+BwQEqdO
S170IomOGKE1REqEtqippnauvPGBenfaoKphSOmRS5LFOMU5wFLst8eWLxrhc3t24pn9IOmX1jZt
crs26pVemv4hMKJmxSx72NG+Bmdbae8xITW7UaXpqfdGtmj4cGsKwgpBJLycYpL2qe4DceX4rQ6e
2xEaVvThgYwR9JqDemvRbT8D5/NWBnGI1IWjBqcfG+d9pbzyzg+E2ILKf/dSGEs22Jp1z+7DENzZ
Kw0tYa2aV+VU76orbCzrjbUYs9krl8SHAHPGix1l3ivRLto6UlJ7yi1My0iUWr6OqCVNuNM+By1g
KIcX7wZXJFwOcU58AmL8+uAo3NSNQorads6OoAmHDzULT0EIic712KRChMBg1NqXkoQGAOxe9VZE
hVgltpqzjh2lsfCYEPWRvmLaUBX3Do1zSX4J7Gdf2zhu4i8n27K3JS7KJ2Ba6sZYyVsp4kXuzao0
L04EF5ozWH9fGGn+UjFbZ9gM4o/8jPHe0DIdulaTftCwcLeKjKcvH5s58k2cF57iBA260DrhT0MM
MGHdfo9IzzvZ3UR8hiCN/MhcJ3oIQ055+IZV9FzrKVtGinzVaIPwIqD4b0Mz0y+CeMpVS5gr7qa6
3gdTJnY6MUrfYPuLRWC4xqrX+uyDgbd/0bzSfh4FuANyswiUwin6BnIwvE/Ifn8gB9M49B487kUs
oo6Pnpy5kkpgzRMTL+t63lxzecOBjdjUlhzYwPm3MrB2GvHqF9T/wdLpVX6xUI8eM91217gqPnvc
o2JBHoizyYEobsoB1GAyOd6bGCryBRGv3PeTU6+HRqhjWMcO50/H3o2NbX+jZFXrKQv9z7IJIMBQ
AO7l6BV3ThhFFyJTo51tNRzIrVwdCugR7BoWWu9ceWJpRNdE6/N1G875iYz/DyQYkE5qwMcxpuou
0yUY1oGOUOc2GV6TpCG02/CZpjGnsPsq+eKNIt30cSglrmTIlDYFOtl0/LID7Nyo/RfA2UJYBV64
EtUgaPaIaGF1IetnmgfHgI4PUVqcHJmQG+UIKMCzO7B6dvQSafG46ieka7jtlhF6tvOsJskYUW1y
EliWYMb741zkA4LIP1Vfbm0v8484d0cwlXTQSlR0z1JirVu4wzxZ55lbpURvLRyFX7htK3GyOIIB
6zPyJ5IjBW0lvXsOEbouNKU/xGMYbKxgQ2zBltjZ5BBktFR7Z+WGPYvLyJGcMGAtFONlDCZFIAGM
Q3OEDmjV37k9Yc0PWUx8Jaoasmlq7EzKpeZ2rG01CZNu7BybapvcqED/F00VO3dtKt8mqV+Acap1
qhv6fDaIEI9oGuACjU4r+qqdF2fpKrGi6taVabTSZa12Xe1Pa82Osx07RXwQXUm+XJd5d+00Wtt6
csmGt8Nz55o65olKDw/R0BKyS2Ciu2KibBgrUQQInSesz4bB4ckiDV6lyJ9SYFTLAs4Hgix7J4tT
4nk90NKuP2UshcQ1akP3QC55/pYFBg+PSTDjjyrIJ20RSLLNFqQHYTpkzIY7W2j36MCyJttXFm4i
r5FMzye++EuRJfklbmLxjR2wupRaSpkraQcTiwxYf4rEEC6xqb22zBufUSlYa9XNATxwIqlPs5wA
ybxKxNbBE7Z1y9C5r+jbH8bGafc2LJJ7c7CsbYtK5IdTxT7tWtlGb0XhNz8GQn8XdVnyMHYsnnw0
ZNwoUewRRXk736Ab2EHjXEbFHGVkVNYrtXT/3LVR9tCo3roAqSi2UuQFiAO9ujP5Tm9GZvBiJq95
Do3+s0xjY00lFB2k3om7UfCvdgj8JeTdjr6BjYiozjVxx24r1pmFO5LTR7aAU3bSYlIxE1w1GyLY
5MIXiqxzOuJYfYil5JiOfv2il777ALhTW/sZsbE0SbIz6Ny1UU3MkEP032VH1rEzdsnBr8xq6TfF
I8ks7+Q2nKcRiXHcRx8JPsW9qypkNgxBdUbDJe78l5rix+MZdk0xnlt//FaoXDtEGGlv/0/6nv8f
MYjm4R8dv7/qaW6JR0SU9HNT89+/9e+RoeU6NDYZD5oGwk/+3j81oY6HupMzFJ7tf84M/9PWNKzf
GCTS8kSk+c/G5r9Hhob+Gw1P09OFZRj0kAg0+B/0NbnE70Z4jO0Yq9PAgSrB7NL9BbrvGxFgUkZb
68ZmarOYaILQf3KGv8GX/zqZ1BEvMRul3+s6KGT/Md37Ccte40eK+zB31jyK3bdO17yNp5thxVQh
6bZhVnbbn76FPxkYinke+PNscr4iklkLRBOVhPDmV/TTFX0SUbBdBM7aFVTR9GB0hlKtJql1mL3l
nM6y6MFr3XjXBIiIeh3yG2EA0zcojGKrKz8+ECVrHgTatLUxtTHgj7Q/k/oyncSQlOe/eb2/zlLn
1zvPjm0bDY+ru/MX9dPrhcOXjP2AjzkJiuyj78YEhYzg/8GzEtyrMRcBDOfMo8rio8JH+tEOXv88
hjEbaAsNLUTB/wRquiEAfSq+/vrlGX+8T3h54MRdwaLGPclN/PPLI2JCL2NM9OtWlNY5mgSTq8ie
m7l1L48jp2tilURZIMAxB8g9eribt1VO0aBBJXneL8YYZnfjII9ClHtdarchxE4Om6alV+6oLnkz
QXVtUX3hByvokrWhSLbZqMr7v34v1jyW/vXWwIcCwMs0LXBSv4ySPTjaetOaNoLXVJ5Gu/KW/TAY
4QrfoDz0VYSoIzN1e60Vdf+Rw+KmHMtyPyEWr7F3A8ymWzsMzZtjdaa2ECJHMKjZrwOerRoWoltF
c9xL1C3dVAvvSG/v9hAJ4eSH8VtpI+SMAvvVtxvz0hATnedzMHbU7crRyQBHpQ51fo72SgsmVMuS
phKbhQg2ErwIahXXXbejR1wMcTrnqtTlh+fgCFqI1iyPtqMw8sY04BeS1ehYZTo7YGxofkOVNMSv
f/1Z/mEsz22LmN22oESYwmTM8vv7onQxitjITdciMLO7gjQ8cnd7/QRDZcuO86XFPT39EVAezQhP
Zru2SvsvR6XVd8DVzVmFEJMXhjLcfQ9tb+VqCOkWee6KJUaa8lrIot516O2GY1hm44ff9gILb1Ac
ffbLV2Em4WmW1IXLtIz0xRjqw8lL2njTtI7+NzcOK+sfbhyezHlLgCRn8yj88mY9vexIx3LWdaK6
S5hRtswfrbUvUYJctdHxN0qA5gpEOt2oK8OjWdpMGohJK3cC7fkT5IPxE/Oi/uOvv4c/WV89JBie
wTcAFtGZV5efVo80HLMutXsb27CBRLiC/dqNe6sBxkr25N/IPv7kY0BiQkoAAw4GdTOj7+eLFewP
FOFz/PpYu686Xs75KY7v/vot/cmC+Lur/PKU0rSMnHrOHk3MKPrUgR+ii8w1UJsNXZa/vtafrAiI
bNmj2VE9RDy/fHzcknGJ+Ntek/BlHE0tmz4mRzknqzL1e2OoWXZzfGfoKHQ9v/pkPa3++gX8yUfq
M9qcp5gzI8X69SPVegAKkpZs2rjds+iRpQ3B5P7NLoxd5Pc3sA0fm1gHXCB4SXTP/VUgxJLrjWns
rDu7ui+R0dLZHrcxdfFA/IYf3Q25uTSH/mPogRHKFKE5x+EF+4m3ik3yE/0Wq0IjYUGR4tdv3RAf
nz3c10ZJCOEoSeFDkrLQW7kvLexQC9OfaIT06hMH7PKvP7Jf7w+bkfDs6XYt4c/nKkbPP9+FkzUB
pXYqd63Ydpa4470FB2T6aE6h/c2384ePDQ/OvPExegKXg3Hh95eSU2CkbosExU2dkAISgzThCN0x
rPIUGmvQ7vio/b+5KEfBX59qh24CRiJ7Xlldm+PZ76/bY/00MtEH6y7tH1HoFGsz9Co0w0P/ShQ4
ATdiqO+Jad6Tff7m+nm8cWlwvMehIRaNLo+cffAxMCs2A+dKkTTHrpmg0qsSIjRDqzqI3gKjfis6
wTizLzA8JEwEKAYXiqbAwu2HvZ2gIa7cWr/65MmRDQ0kB0QkSfCQKxaRPurMmQL77BXQX8NKP5WG
htYZ9dnCDwzSgMvs1iogPbmif8DzNLrJkkV/n1geY6eivZucd6ucPuCy13f5lOFAsu3wFR1le6ep
2IDwX4erYIppiiu6iVXtIvOi/wTEkDL3bcSdvRraKMfeMNTdh5H61daSTF3JhTOttwGo2AYe8WNZ
dtfK27a8T/TE4kcQET1ok9S6iDQiL13bjmC4pna1sVWSrPPIL/EDAn00RgxSlmL8KgaHobsRq2Yt
0EAtMFEYn7WZeOcMf94mEvOwI0og4PqiC9ZT77gZaQxm8g1Ler+OkKMx2xqX9IIecAcWq0YRJLjI
W9rOBKrK8Uiam3ULJCMxN8JPa+prvxh2BXm1WyM1yX1/bOf6crBWzWj4X2OP27RvH9GOfQK8tJ8j
A3aRORH16HvdSybVoc6GelMjKzsHSKOeVRybN5BfNjmXJZX7YkS7sPAnqIemumX+9DyEmIG7xCX8
sqwqaDuhluKvGhi9aE13Vw0T5BEolVegItkHLvn6rq08CMD0hb48hLVbwCMMbmms3hBKiddclelL
H5lbIBgFc1kkdVdSScsb9kzkYwO+e6KCDTWu6rgjLzmcmpsZjO0TKRD+UpEA/IjbqtyWhZZctBJf
0jRU2n3CQesCMlIu47nhIlTmcmWnvAST1q6TfkC3i9/rHZ9VtS+cwr4YValWkm9vN8UZg6U2/V51
7vg9nt9hrxN6jXnzqocWoNVHXeAO8UAHMB89B5pbb8Hf9ftCJMWPIBDykXR7sVBmG3EA90ieVugL
wQFOq6ZRwNR8+qAkC9s3V/Xykqhiors9YjgBSP5FLuqw0TprPGRlld3ltvcplf2WEwgIzkqQ/L2o
jGh4cWuYioAlNboJPvM4E11EW8tpj6qQ/JkqfKnK+gVLCz22xhbV97QQdC28xNlBlcu2vjkW6zIA
XELlU58qhiqoNSpnF1fEhleax/DY5EWhK82fYdZpZzIlLPwkAT+c5Iwwq2GnMtXvRWPCSHfycIvO
9BTU3adpo7cvBnzppCyQwaObkJojyQ9ouMa6wffW3dBpm8T0vLugJpWYKHrvwWzH77VnF/dp1Ttk
8LAq8AxOK4vc8H2a2dep1M1bi80qXWARxytS97MDjgmdLxq5kX7fI25kgGcU5YmJEipx04F2MyJO
pIMpnxrzH2q8cjrqOvp4u1D1crRZHUEAjmwQiha/kPF73ebtiWCG/oJkMyWHuuiB4GjZWiuZi0vG
ZURMvCmZ1ZvQifOVpaUQyXTwOZ3frQYUtRc8+yA+tMH4YfYxFFZPMaryJe2/JFRXmuY+mBFKO2dj
ZtazGSibNTCMq7WklSnc5E5r9PY+DMajyDqGqzVsmfgxSJKcd1wmN1MfxJIGs/GhT0N6X3YxJ32v
x9sd14ZL63/COYZa767CfLrKSznt1GA+iGBYMow18LwwvHXdFn9N2a5JU/2ed+oohb3CJf89j0BK
RJhEtn3pGFuGnQ+Mtle1HLozcUbBiSz5WC1sEBOvDV34FcOhPPgWUp51CxlkLsL7EbdlOVXHBk7p
0sCzOdRJiLml9lD692Ipe3MitLgYSIlWFQNkTAxQFOschYNPgkfRBweOHcW2iOPkWDDxuWoIHDaR
nufQOIryYBMFdG856iYTJuBYorV3rBHF+1TpyVYELqw0AGaYta3oFAWVSU49or66TWxIcVG69Qc8
mtIp5bsvtPigPL1duA47J8Eeiuei9HfEhrRLAAqUg6SNrKDYZPvSJF3HGG1g7FWin1McrBsmpyP3
eHWrxBeJ9vSCHaaVjx6OI+TCsrwatNHvnTDxjiCBxqM7ufER4MK4Jms8eMknf3xt0zkbyEjFPcHx
ChWtxV4IonJLoED0zStshpNWrTad8tzXMtTJi5BQtGIzZLuVYImcRK4GSJaMhoghhr9RnPpwtI9N
V9unwGzttQw6/dGAI3ZLo8bcV3XvnSw/bNe6H9NKzjz+VfvdRbkx/jgVP0Kk05cRAJQdt+hatfV3
L2NCmKecFxduNa8uvpQEfacl5/4JWPy+tsy1iaC4bO9sPVpntZMDG8bwHqJxbZbggoK1Bkv+bCqn
uG/gfX7YkcpeXQN6JCD65zGw7FWBuYmTQdNt8VxW/qKZmniLYIkYC8QthyYh5cE3rWqDXM7E1BUD
YgMJ9qDZUK84mKZ+t3FLW+6V6ZYbnaxc9MaqmKep3PhBU2nlasgdax+HHYgbT4fT2rhXhsGEPw2a
dgNlnZ6nSH0ANhP4jSuTE3Ba5Q951V40IPZubX0RDn0Ikym82onvrNDhJKuwl/G+M/mc8VDjOQPz
/3/YO7PlyJE0O7+KHkBow77cBmJlMIJbcssbGJlkAo59c3cATz8fqmvUi2xm1GbShWTqizLrqiIr
GYxw+H/+c76zQY66EOzZqTSJuagl+z6pdItAAFFbkbq801Yk70bAvM+MmD7p31JYe9hiPs0og+qv
kMKTl6APrMeqGs2LPWoSnJCrLtM0DWx8Ba0KqoMkrFHP7ykN8b6dyYx+hQKaYiFEvmPZb14ssinb
3q/ZUAkuffvEyx214VyYP+xoCG4rNcwG5LKm3pHZrh/bOqhPWZer7xIMGeRsx2jPKe0hh4EcCt4m
S1jPUP+6OM+KKNw2Hs9rhfyD1dxPzIPLCpBHpeySH25rSX75JdDBgfaCdSvJandgXUuFVIYVWYBK
fmk80OZkisoU9y4gCUK1OH93OeYSEDdNHl1pJ1d7m0XXFv8Lpt0sMbz3tOMRFLRJ+e7bmLAi+Ms4
2VjbbrSuogtU7ZY/PMj1ivtM7qyLlw7/eWcsd7gVOB/HfmjvWvJsFzw2j3B0Pt0gf5WVK/fkqeyb
nuoblrDLm1ywPA3gaOI5K/oje4tmZ1crCm993Jh2AOQs6pdulYioHK78btuWobwl6Q4sJ5HZfoVa
31T464lLVgm9xpne44sk/kykm6cr7UEEozHrzXXOtle0L/W0nGXytbjBY6jtH32oPqwuO4Vz+pN+
sLfMdt1jlRrVQ6fM8DiYdRATIQ5uS9yBlB6QPd82pjX0m2aB6lxB54aKR3d5VRrSQoqyuSeFXk2k
th+fjIH9nUXNFx6e1pZXwLEwi6ij8z4mXYdkmbUt77vESx/KaHpKpso5Qhmp38lJLwQ/tekckZYA
I+fJ+LRUQXeYpwYUS9sGx9qY0xBQbjF/SRmuBjhWdKnrY7cDen7gkxx28dg3wGhyfVQ49N/rBpNK
b8kQtHdaT3Ea3eCraB+I7uFWsiI8fWoQ7Snwav1i9oKHThgqpyMCQRDEpwLnazKpd6TRzRe/+Zp6
V/YV3Q708Pk8WP2eUoxlGYybQodU0UN0vAuIVmU7F6l119sRpnA3M7Cc+A3t7XkWHFg0jRy5buPE
lrCNfT3gdjKmgIEhQDR8Bg3TvDOwm2ckiubQh3bEh1tGB6IY8MiS5cGCXKyiqv4aER33kzOaH3yG
7d3skC4rZLjc42+QO9jbJddgLI8nqMvGxcxWcL459cWlZD1/13P52FHFDnLGKpuDTEKxFQSKzlUa
PpeK8r9qaD4XmYoDC7vsyVVG87R4xNplSypZYE1jqIv8B4LG5s/MK6NHWdj2hYo/VqfQbX6tR+HP
Km2yJ5K7ncffLEAK5Z69aXMjeg6WcfyBg6CItnIUvzhYymum9PSsWennWxEU+FS6of5JF2PHz5AV
xywNl9tyFOz1l7R7UP3U3ABrc06YIsarsIjMNoadvtLwkMDVSms+QGgv2g8hbHFheyWv6cBXkFF5
4M7TAttUrgF2boqOnQrUuKoM4g5lUL0ULsrgZMzVTROxToVdqYcHc8gC5JSFRGbNfe3sl6P/rS1s
oyzd8KJh2mwfupCCnIzKBds+eQHzcVYyTR6LHlF2Uwtd7kGa1ces1vnrMFT9e5e7prVzTBYHFLct
JnidVOfPEv8PwO0ZrEBl9AOQiorBBretedtlKrsavlnvLK9pjyrp1cZwLFqO5qy/5zGZ73tnKekg
q7oUx0Y4vxhWXT8bwigh7oDj7tolYTisR3aVE2lK6s83oSrkseVHMDZt2Na/+b8UHmnSTP2umEMi
TZFBTw6zVeg9Ghkm5aDPuYUkduHGoCGGZ2u0EExN+G+4/ET3q8RgtVOLsu8sVZHGN7jwXBM83h8e
pIt36q3qfpdY3qigSLtaPJLGGg9ABrjs4nmS3blxB06GdAa83yCht/1kMFSB/eWhPkPE8Ktj4Rim
81IlyfBbkTxmtEY5rG9st/JdGN+zp2l8ET4VPgkmkG05F73ecpM2jDu2+2N4tiA3reQ7701WU3Vs
l9CB9u5AoDcEHo9KNSMLZ7/LGz7tXhvumDM1uDxNpVy3LHLC8SuibM/OuaUrQnG5DZawhfPRz/Yt
8l6C9114LKrCBryHpzsYVLBR6byOhmehPNrXDbiVuguY04xw+r200VIhA7v6ZjGa6tOz2pUVWfKI
BPvO8W9q5dxWQbW82rU7/IZR4F/MxTO++NExJiWa5HyYtOMNj0KOAX43br2bJemyqxem83VofCxn
IebYvfJwTaOGpZznNITorXKwEXRJ094JFZnXxvTyn4yWjIuB7sLPPO8L1HUO7tfOwpK6Cx19zqlh
gCWljZpiKO2370MXYbCAtPjGSonPlcIdY+JSfapJHt0mvZcWeyN0PksbAUoPWeyOLssT9MwDdr6b
otCKFxsJbINxIH0UM5UQk5zGvWO26bnNQouSPDLlm7yXfbCBqTvs5xrjIRYqe9cSnR3BFDb9qwO/
9Zjz+HrB1QFhNAwzP+cnsYabfsmLj4br0k4TmD3yUU3hG0rrvh1yg6qRYsQHNdGkCjVkGhOy7tOc
DFsvyHhKTjDW4Q0zGDANf9peF55QV2nJU9P3YKnvfjCeTUaATZlTzehYkJ3DxnH3ruYIpYJSvkB/
SW+IJ0e3OWi8bxWsxUxLI+YryhZPhoqLNW4KO5CbzrWQQXsxxMvUGt9DpCFZsVv7PdieHn6t/wlY
Cr4eo8cpczNv59sKj8CiBKO9zzqTUlMsepvWUjQ4JfxwlHcxgi8vXt/TnVEs+lNguCdGH0L1nJLg
XmWjdxk5gz1+rGQLiWxA0SkceVZjt5x6CjThOMzvJt/F39gGQTkGkwL72ozHgyNi2vYz1FeJDpce
omoFBof6zuwC542ieX5yHsOUIcC9ZsfV7FCXnBeeTrFrEEPc5MnsXQ1r0jF3GciKZYGtzFpw/Fbd
OYJ4CCy+a7/mckJuq2AKJS2zrjERPXM6PYL0rakxaCi45iWkrnPgSpsS9ca8gZGJR/JY2BMRscU4
NOYAEbMHTrxJpd1eiQHWe5P+lROe6tTccNJZT21Ivh8pI4+2OgfsERv4qxZreKzwF91bNrpgZGDK
DHzpXBKoE2PO+3D25yaNwxCLP7/xUceLTVyDWZt3bIY/SUVv2nCCl2zx/Zti7luKfBcLabaath7P
3huZY3Unre+TmRfdm7J8vIcgiGMuB+3OnpSOhaJGna4DTTluCAd5NI0ZR2XGtq5mvnoIZqZibJOK
IuJI/Er7hQcwfubY8VijFSKtn7GbFD/SVC6PhpEGL+zrG0YikWBWdGXn7MLUbOLSzy1nJbeQODJE
iQZb2k/jXEfMs9gCGYHak7VgqW/BRcX96qBdoaZ17GLg3kTuVImD5i4JYLjJQdGQmIzB/WKpxSia
ct2a1U+OURC8Ps6laB8RCVjAqYqRMAovSzwPXVvtBxHIR1Il5rHket9wmoYd/qPJxvgSedp4EFCa
rl3TJDdhV4H/a/oSN6zn30443466sOp92C351lMDM9BQ+ts+ydt7+jnuh8pxni3a6ure/ika/yPC
6E0NkT+t7kLVQcHDnLutaWHEan/xcWUf0zQzH9vGA2oJMeemmnV5EUPxo84iWjlKlQEetK2noHfd
H6SgkhM5f7xZnXrCHYVbKvH1I6BO8yhLr7hOPEkpx653Q5rLxwQM0ZO/VNVhGAlP2hUqM4Kuc9G1
C+0S+/peDpRfswx5l2FvnqnyMw5TUp1U2QcHCf5um2fj75Fp5WuG5OC0xhQDoOjjySPqq9h8FaKt
TqbdlLsOtDfQggFtKAG3yDvcSWnxWLIfkKn3tNvtHPjkJ4BL9s6ch1/uUC3nVGvnLpQjvuq+cOla
MzhJa/QnQICm3DeFSTamHW3KFb27zusYxcaiVXHvDXKfA+3Dscdqud2ZXXkOe9wiLY6lvL4qYcj3
KvK+ZGikB+Bd1mmuQYNRkuI/wBaJm8G/tZfxaOCX3DRj6p5ByNyh/TZrRoW4V/7QGJ75mbWL5mhi
HLZ1NSHnq/mMAPZcRC6yghnELB4wQMJ0T5VsTw401rTOabvrp/LLGWE7FE7/c1nSW2zugL5S0TSk
Q2ys3uz2bR4HhrdvV6rQ4olTYM8Dda0RJDCsiGyyuHoEZ494Mm15DMh+Ce+qcbw1k0JhSLKOEx6l
XD9rUG7gUOkhcRqfoV1O+5Qzd2sGaUH/rvA+m6p2n/wureUuBarUb7QBltyd85E22xnDLFNFduMZ
ovAPgFC9915ZRvoBIqrg49m39NE4kfUDyAXUW61Q24pZ7Qo+t228Wp+XcK0+ZkGBlNGL+SEx3OSp
ax2guDJqaIEOibF5zjYNYSh3ng2aFCyNpk82WMRHEtDCw+TLWwqSUZP/oBU6Z+VoEWD+SAXFkpQF
kbg1sTInZ18wn8SkH2HnR1FePERp4Dkn1tmEmmfJfoQFbX5b4vSl2ImQhe5sNFEf2yn9PYAUTVYI
nKcRHBFwHo+5VsWTHF1OW86N+uDkBHeIEtQePhC4K+8tgbGPubG9ryIoihUyJIHIRdybaRHH6NpM
5X5Z4Brg6rVGbJM87kuTXzXDoGJaTPD8P4RG/4ZQ3O9yW1P3PY3BDTQeNHwIlQAgQY0v5MXMBnB1
291R+XoaaPSmxg93na/vwCNtqEiCn5Keh3w0nlxLz4SD0jp98LiQXHjHZe9Jl3dMxN1GD6l5G8wg
ob1JbtOZBF+pKCH2khkCZB4dVBX9VKl69LrpjQD2RJqNYjPaWCkpniBjpmE6HighaK6R4+Dk73mj
VwKxMSWTisnGko88u2uekAUqWV621Y4xgEl1NFwCUOWiqu+F8su4d50h5tpzIrAAVyBImJlcTPQ1
PpYkbqNBP0XkRp5T2dIhKghm2aXXXXMMDGZZXAbHSHbWFFhbKooRKYYmSd6YF3Aj4krrtkHhLCfV
OONPYeVDFff+PJ2XcTDTWFGfwMVXsBbuRh66lUw58qi5Qi+Y8zQ6ziZ8KpNRx+b8qZqrWdbeUwed
lIsW+qkwoSxDsn4nCmUd5hXJibY6XUTj9VsbQNvbHDC1VTGrLJQNrN7izu+rN60t5yFdrCTdD6Mz
/2zphztKbscXNxr9N5hTgFWpqeRqXSxeTGosMi9TaZjdJgh4GfCDAa2rKPu6c5CGfjGbMoUseXIV
Kq0RKnj9eCWNbM2veVb5zAgntkNPVI/Od03B6dmNDPYFFOk8V2NHi2Sr916lX8aB5N/QpM8skA+t
FQbHkl3STi44680Zau7W6z007ty4c1JWipwr4nlsAjqIw5bJRPFGI/tu9r/rRVzbLlgRrfMhsPtt
DUFm5xeaRzZCfryEAgWe5ujMdtR2wGkjN67dpvtopjSZI1f6/hZ87qctba/F1NjqY8X8+WbWEdqq
73YnL7e7L1C4Jj4omqCetegTsak6Sm9Lz7KnuLPG4lgkBVPDsgS3gLiqZ3uCrnOghllFselS6FFr
AM6kENOHrCuuYwDRAvaigLBFI1RJHPk49VFZbXtTrqD4Si+PyyRq7P2WJgeQhfYRfy6I8bqRrBNg
Cr3lnIq/Fqu34hpzzZPfJgqdeGrF2SMw3TLAqfuxYG2m7IRBrrHXmmUb3iGhBPfU28qlicnTxVVz
j7lRc5KCAhtoJ9hk2TTD3SobPuyjaZOrHnnJY8OWLySfMuaPJdwJX1H9G1o51zr75Actj0GdeQdv
4AYFsHe0L0xwhFV7tooEurrlAQ75kAvjmwI+I+4DehyK9carF1s84tdrrk6kZNyA6bjP6Yc68lFy
7qHqLi9uZtPEHRl0cKmlZt7zxo29DHbsEYOOKV7l3Krt4hafE2i2gGwCYEBN8pzfD40n4V5ySh98
uBL0CPfrZqxLrNcSueEmYQu0BZaUQSZ2/EcJmhiMduP9sqKAgCKqHg+PIp8I27qescm0AXsok8Ry
29HBqm7JTVsY41svMu/J4v35kLUWb6XUGdEdlubRw6oF/ZZ8BU8eWgw4ZBGolHsyoYWjplA9uA0L
r3oSVVsc5OCPr13CWdeYZIwOusbZtpnNnJ+4ogRdxWVNqrtNQaOBgc9+ufho3z3KDu5mG+Yy60Qj
tjEqbprc8eIwAAhmm7CTwOY2K05rPmdGyCMnbRS/Hd104Yehjfc6nL9TFTgXL3LueUOh1qMmkf0b
8/vMsCq5lTkW862G4jVdo4XV9aFl6pWHhsMzi7N+UEfe1h3XR8hyG12F2cnKRfocdOCt1geRMsGJ
lvMEKTkIsAwsEXXjVgJ+sup/2SnpMjT3JHDGu86ocL6bUxAXhUEgctQ59plsFMlDilj0xLtLvBZ1
a73BUAWlTb3CLjW8dJ80yXLn1xSgdQHRyU0yk1UYS8t8w3U5PlOYjTAVVh1y+GKFp6y3uxjbWEqe
ciGWl5jFLvKX+amLuva2BgMOsNIpd35AGon6xJZ51FQ26xfrjylZxhN15WcjZ/qy07K88eaUqrcx
AlvHMwQEWBnO+wEM6RWhZTwtcF4/ijT1X+gqDiHildVxMKh7lH4AdU3kYm+NPsVlk/yi29I+CW0n
WNTJIJRxBuANrvh0zzuy5ErtknXyVf7LiVb0YJYuT3S+KXCHzDvtdmZ9jINhi2q8wd/IXwtUkh9E
QCIZs9wIJ+IL4/BkTdVwdYum865mWKubcbaAN1PWJnces9axExkb9KUw72cnIwZs+JV1hK1Z7lp/
xKNitah6UR78SJRjX7MWnJ5NJeZNX9qazzMfvTYdWGKGS/mc9RUWEgML1TI0F6MxnoPa+Hawdv6o
WqN7bCTpFKOZxHqrBWjiCvFiGr26m2Ua/HCmQj1C3m62eU6aDnCg7ebyrWj84d6znOnNSLJxl2NE
OTuNCGOoQPKNY+XNL0rnMhvr/UBXxdUpXPtcl4N5KNOMZD7tAHHiqeJLQeTfd5qUcl8pwahicjpg
sDoyG4o07lp7zGgWdb1TGQzdQYHYe6/Srp83VK3avyrwiOwtWtCnJffkcy68dFvDv4JVRO3g4JOu
TGHJgrhYrRE1tU3KIVpWtT66jz8eeieQN61OGtqwLOvNi8qGs5Y/FYwmUVkPiK3irBZaGdBsc75r
MO2b1ixOqSyd+zbohl0FbAumfB2epYWkkde/gdjs/YlnRgmo/sA1Ouo3s+NSfplna/Axr4+dj2rs
h+k78LwvXErfIWprnLLFFom1nwIsah2lKIe2a74Lv2g2kb+iJftyU638/2J2t5D94L6mtzRdvkyS
Y4d0L7w4FkOGNZM9TrMdH9lYWu5WicA6lap9mgfriGMoDky6due8prRQizUUmXAL1BOLrBBWKS3q
NHjbxnExu5vScamlmCloRf2eLZ+NEN/yOIRTvnfHFD9yuwiGSSnzn8Az+70RpPklDETxZLP/+uHV
TIzNAvTIrxrr8N8XWBcoqTU1q8WYfhhZ5l4YgU1i2GlxqAcxPP9hzvvfXeP3f1EWhHkR/Lb7nwJu
4gw+uEg/+uzv8yB/+8r/wbmB0QXHLIigzOBpx9n610BI4JP6CG3T9EOHx0+Az/BPhJxj/iWAEheB
u4XgTSs1BtI/EXL8Ix9tlfiAE0aWb1r+v5IH+Z9zE5gGMFUSQgA36rr/jAiXGY41muOo+dF991x1
TfDWBVZ6oeOEkgfQmdM7CfnPpLD6b2CLrHwkTz1fZZncuYNudoFq+l3gkfbqLdXcqKolRBiK8ssr
U/n6f+Rt9v9cW6TleGug5T9GLR0/+vmj/viHt+Ffv+bP9yDlj1FgmkHgQSb8+8ZICIcQLnzTxOeK
2fUPCtPf3oRccX2fyBDpCSz/vD//HVQf/IWIE+9P9DHiNvyTfyGTxPP1n3zK3OPJ7MDJd1wgPDju
/9H4Wlh2ZlPbWrNfMMI7PLI62NOCxS0FjOhbygP53Qvb8lSzDCogIOBX9Sb8KCa+/GOvCLvmOLie
IpfvsQV6HL00MnTebF0H12Ux3WfhJcOFJ6DDDsLJPxthOFfMdNOp5q9Hv8KXC+cOn+s69bhfxbTY
cjN0bC7hHdo/0E4wugijqn+j5tiXPvTLHzh6Vlyqad+sdVX3Q+cUW0kt4HbMyHWkLWwFZpf8pQo9
9hlGmLyYbZZf8rzaC8oL0b65wiKZUwWhMDPnOTALrku0UxehHTu5Y52aMkxiL/VI9tXsya+sSOuD
GPCRulNBQryTxc4JJ67YI4sWNeXjVbL32UZJuA0zrGfs1qj9dt32wvbOuJlKABwe5YRXlzFpr5Bb
ntRojhc0umWXB3597Wx3OKXlYNEw26nHsqavBIsnUkiJjaqQ3jUh0nH1u0kduklG7xYKREz+W9FD
Y7s7w+6Ku7J0+qO3Nt2MfQvERI7LB2sGhGmRt/umbCSj33q/WACPJP1IHx9NCc9J0f6u67HFETwC
v42nqtDvoFjSl1Gl+m2GOPcjgvjyTbaCB54Lgkex6CA9E894NMQJgAbePTiy5ipPumSYKQZiMFyC
6WcOydzdF4kr7inSpvuA1fI5MrJpR6oynOkaYqjeNjKKtjNWLiQ7wzFCeE0lGn4rl/oWrb/6bc2T
B1LEstmlNha9JYi8t3j9DJoDve6JDWa5dTvcVYjhv2dC/w9LNoI9mHznUpRpuq2MenwFRJzuhjCS
r4HKxQsVTel26IxHG6TDOVfa/o1FxNtUNICTTpadbDZ5Ok8Ptp1/wZv66XlBcmn7hUDdFCRnnMLe
Vmpyw5sxb7CxJhAr6IbCKXVRRDUeswbDqliG+QYqR3CHBe6At5aWhdpiug1Sdas6u/7ogdUeZ1ab
x1SEwFDmtkAnKHd2OiVHmCmsaZzF8R/gkTV3etQz9zt/uoHL6b1nTu+Hu2JRxhsGKfGStmVxqgut
f+JEMD80oG8GcBwxzRCGZ+10w1ZELHt970FMVvfoqKmCV1+qj9zpuhdvcrJD30jnvVVtelqkcmYu
eAlbxwaZ/uJWjsgIKXTtNR2At25cxyV/k3G9hiDd3nmToDQrbNvXhAXssMkqU8JysplyTebRPSR8
UizmnFOb51qP+GwsODecDne241HUMmVIhZlZwVJStqVfiA8GN/gMZ/Rqo7mgwsOVgkV2J5ZwuLQ1
3RFjNvY3gwqwYYU0u4FDbFv/UrBtp6K9pPQqKXrrOwQN8w3etLswT0wUZVQIVrFnq3Kn6hq/cj0M
FGlq39TPos/q7mCxJSwJhcsiAKBC8IBGAwbdxMm9c+dE9AGBy/Iudh3IXVNyy5OUB9TbJhhNb9vS
1xGuuMR2NzoB1/8F7OZ1DC0WeZjBnHfqfOGLJpM/00bl4aHZzCBBky0ZBEbzXhD1Zxurs1uI380b
FBCoJch7EsC0qr/YM/gTC73U/umihXoUXAzZ+4TRyMUqXeDXChj0cbCXOLjeWXdBsMnwAz1bJhVY
RWfpt860l/pGRJPDmt1o5hPgfa8+jFXoQNGjUOkTbjlM09FrgzeJczHcRWWIfLl2WDnNvB7aOpk5
GKmDFLEx1tNe2mqWB65eE2UMdmS8+9lU2itbDlTtbA3TdPHXi89RoByxbmMTAhgNa/mOnB+BRgIV
MKwHQ+cQfuiOpGHY9pontCGGSI3CiT876YdPs19YBEvUtuyMWcAen9rMNM4BoJg9hQEjNyOZUaMK
vWh+MtOCZiTXLuS76FMfC7xABdloGGeQxgcUYApYfBbyg5cUm6S0cjx7DsZFmzqzG1oC/ZNljcyl
gyOm373h169sVAZm0GEuY8IAIIiKqSsfRREkr1JHw6WM3N84onpsSNGjO00mSyovdWm2KhvYN2YV
3UhPTj9nbPyokOBIfrrSxMqbQoU4mX6KUiRIwRxSSwWPgMaW8D4tEnb7s1tZ6Pt4RfdRjq931wfY
Q4oyGl2237OvqeWq8mcWVdN5gMHwYroCA4Is3WHbWiYpOe33+ptloSQ1pKcRGwZ5Ioi/3sUA9xVs
Rizg/WaspHcCgsjnvueD8NbSYvgDUEBx1lVA3KSyat6ADRGl+QCoQx0SMhnPkqqsS1F54CQKiE5i
V/t1/oZyyJ85KMPqxndxXWyXhQl4M9CKcEMYsXuFoVW5JxGA8o6ToNJE6yKnHOLeHIhd1PziDKdk
nW+YA39AT6XlV2coctRTB62pNhSfmJE04CtTnzxzhlofpjXOr9oMw1NZuzPLimDJOXtrx40135qd
FbzDd+Cqy8OgqO/a4LhEUfc8471j1Xy259B8ruBNfVs0FxzAw0Uv6TJhYGij8sF1pnQA6eOpbTY6
1QVwPAU6TcIry6E73uWJixhOZd74opQ7k1IQTvPTKJoW6iFAFD6jrfPkCbyfG05F4xNr7ozhHA0a
ty3GbRfHTshVIZJj+SHY17UHQylMR/k4E5DNRdN3hxxJ4Q1+E1V5tVl/wxgJq1dyTGiW/ayDx9zJ
M4AImoK9fqXJs+Bvivsos9Bcx8S3h9jFlH9OxsrBcAnZVY8ZG6wBoMe212ILIqz85HdFO9cyhe2L
HkaeAoqFk+tay2PRZ+uy1GlWQli3CjcFAc0HIyio1rM7w3xpc8wR8SLdAJ7j4rMdRB0lsSz6SN4G
qU2pQyH9dNwmmTfigyj4r+vAHvCDF1nylvhTCVR6Ql8VJa8qdr/2RQ6T/zBqQRFSK/i953093Fs0
El2WaSU2m6E7PILXaR91iDaF4Gzae7+3Qj7xqagwec/+LZZDIPYuTzjeGdTtHI1cWnursSReCVWI
Xb5AyVKBRcnGgE5559POZrE9qu2PxUKUMPDywMr3B/Pq9xOvSFQW3a1pTrxCrduKIyiO8AM0p/OL
cZc/Vhrl40uEeYPXN5uzbeAG6S9ArOXRL2X0ItirHbKlMzj8RvtagNi+lDPlH1viX8sh1/DXeNIi
6Fa+ReVwlZtzgJV/iG4TfPfnyR2ReCkFHrEJimz4iTuEcEZZD87vso2q70Tmzo2XGOknG72ZfdeA
XEpv6jULHfM0sy2aN/9/aPxf4fM666D3nw2Nz+P40f+3+/7j63v4BwXjz6/86+gYgqxHCzGRixkF
ORUY3v6UL4K/MPvZWB1dm3B9uJIu/jY6upYHKd6FgWGzHuaL/n10dP6CnGHylVHkrvPmv8Tp/eeo
pkWVmuUGJilocBPWP0+OrPExHElPHdp8jJ6giM53dQM8kINb9J9GtPCcMBG9/4swKnjiNQT691QB
K3Jd5MrQC/jBuQT908zKPqPgQFbq4Lsy2YueftEPaC4sjYWy3GojW0B4sSBL8Va2ebtQaUvLGouL
kqMoKbTpH8yytex46B3ao7sEICcaNftpa07HtdgCCX9oE24FVTLIo7atuo87SSZvY+mRtrC2CedP
7PIbZyRidoB+ELxXa60iO7HohdmBrkVzrV2c/2hgLNYyRvFHL2PYJtxEGGLkW43lYA9qWW3Dqjq7
tFAdaOMGiE8J6VJ/5pwEPFnUdmkoERqS5hf2FYvuVZ0/RFxIXyPMlwcnMXKyZq1Vx5nn+vhTUj95
5slIQoHLZHOaQxZWdTJ/U/BLEW3l7BPFCn606VLROrtnfxnsGQAWlrOQnjDEvgixrtDaCUKstp9U
yB5fRDYo4K6OmUmwAFQN9k7CInd1yyA+NTyrHLaZAIP5wr7z9pTkQPkbTVI7LZanfrI/YBXVnIHu
2fQGck8sHlOnP9RJudc9w2SHp4lnYnTwab6JB3rO+JcazUNw0He6lxytrMdOC6R5LmjYZMZGYsPv
gTBbHZRnmWLR4aEA1gNdj8VsMh5GL5Un2xxYewvHO7lmALZK0QpLmFQixA/i4OjMpjFlWmLp1TZL
11zukzatbrIKw0i0Np2ivIvDomk/VTZWCjKDKXoID+gvjIOEGFzTAKbgG9cFKOzJajrxyGE6FCj1
AKTTQQoMi9Mfml5uOgTngDOk7IwIqW/JSmRqh6I+fMwBQjjMWIffu8iW4D0lUnkJ1s7YWtnV10hb
dRCHRevRF59pomxNcWtOBrw63ZvimttRdxpnEGhrM23ltO0NvqzmtSKOwWtNCpG2lIWW1V2PKs4V
OwIfiiu58X3gYX5zX5WKi7rJ4h1L/dqQC5vJA8a2igmT5ZS35VBZh8mC7nsojCx8qjzyQVtj7d3t
/LWC1/ujjpfMUngxSdfynFv7eu21uddNadG5SdOWqGZn0u87/FH1i0l6IRvlNBnrNSN5nHVontaG
IxbJa1cwvn/7VHChaZkIw/ToRqX7o6FuLuGmFDJ/eH+0EOPi1A7P4ra8I+qhXqK0w+KC3qWfCn+y
ocQZbq93Iff07mbWDIRN13Zsb2lGpkugk8w8FuEjjBvR3nVIIW8cVCUTd/Ts0bHs07bsr73LxQAa
emN7NtynmmUrusra0ixtQTu7oLoZSoi1b/mfg3okApa/xCg2Dhht+uKNu4QCaDJrn0OV3VqKBcja
EC1nXDzV2hqtssi589cmaTY6t2Jk+gnXlulo7Zte1uZp2wTiVy0GZhxqqeu1n7rLzS/yevDMm75C
fyjTo0m36aUOgmJv/9FxvbZds30R94R7xsO0dmHLZbJ349qPveAb3c9rZzYz+b+xdya9kTPnlv4r
De9pcAySi7vJUZmpITWrakOoSiXOYwTJCP76fmhf+NpudAMX6FWjN4Xvs0ufpExmDO855znY12uT
rKlTOrXrv9Vroxjmlxi/QMakbC3gXv5Wxj2YwPkVgsM6c8GsLgiwDwQ2CF0j1yNjw2qR4k/fmhVC
GNL0RP+4hWYFSkSBgaV0Sm6BeAWvZWbCg2ym8ZFBJU6RLGeEpoJ8OlNB/afz+tUy2fr+IRu6ZBe7
JrybOMIHPiekTbw2r5F+yk+tQnmzbIiM8OJGqFykHZ+AbZfeCz1ZA3c7U6oTBvfpt8Iwcy+Zppf7
rGXEpEmzPERo+FtDebBDKEuHPFk48lkt0l/RVMidRW74hoEfv9g6saxyQveFdt3XCEntEqwSXU0Q
f2s0D3CKBQK6jgQImeBgdGscCMFZVVl417kiOzOD+GZ3yu+bNoYPMPQpLQs8KfJE0aym/7wv0/3A
+NQQ4kodKqBNP3zlFn3ym7Qc8D+JBgydS+WM3Gd0wGtKPaf0TmcTnvC0fOd4Xe4reDx/VjfB0eSe
7jFbRYiE/RTBvyEL4SPHT9E9xsP6LeR92k7aGW5MlTRfXEb9q9R98stAUPOfJf2XeHcXJpK7VhGU
3eQDdLhdx+mAuhsnJQnBSOwuzRePojb7V5eBUw1quVAS40wXqk9JzjYflh6pn4b2S/tlKUsP1N8k
PIAI9SixqHRRRNdXn6uXuXQpsUwI/t8Ty541luHB3VTT3F9N1NDmsVCLOuYD3oTaula0YN5rayY+
SuVFHvkHW+Ibchrf2bl9avZpeoKkWYBs8YdL0bMzBVjcqM2gHy7M7uLJ/upD/duwvp9mCTQBUcmc
8iXO8E737o1lUQmT0x6/c90KOG+l98s4BMcI19I2Sd1kt6yzmRb60qUI0rfUi9N9r2YegGRmeca4
sZmVLzE/WEv2VOvOrNTQgwVwIuc0f1BmdG8z3DmUGnB9sK0w/6LgQwHbmNQddXG0gFjgblqNYxLH
r0s5KOzlLjTdjndo3nMWpMXKaShV0ctrUk28kJR3gczjha36JrlrIyj9RMNf5yCzXjCmDRRaQ5nm
qBFuCjGoI+EH58gKFAFL79I9MiYpdMD4O+LN4kbQabLJivgqiZztm9r1HzTvuz1XUm3dYaImlNYA
pimouwS0sKF43uDxgc99Ol1HLX/k0fqmEsoIMKsxIhR5F+8LR0miI02C4zG0q6dQLRh2uUp9Sx2I
k8WWc3KmeH4vADnsRle302EO7HYgazBSP0Su6tvOlvFGBCjMhapcaLqFnXBXjoKcgaWTXVMLN8G2
TIlvidTXR+0WHgHlob+dbFc/QEIsabHumjjn9XbFOWVgDtNxKupzShEt6AwnuNjR5LzAy0z+VDJZ
SNo1UX2MhjQvWZic5ISGEJxTXmrqV3QR71PPys98VHD22Sm0FAz19IDXtuu8gcqKN/ReoJHXRlO+
41bpF91DNk4cGEAtb0JTXyFIWi9uKIobLnNo/7pYjo1tpg8fYPNl7A3Z7oXjA/0DpDxcOcbNmZsu
Lb1B5i0vZWHMH4zyNR9TpmhP2NynpxjOP/iYXGQ7jrbjduZozzy2lG+Rae37JGsaegkd+2jcta91
MeE62BpE+pH7vb+rQbsB97b0yzTX/s3UgLOxYk9xmhQ0c8g2uiPGTEVTQ56aVBPg0LRfJ5cJ/TFO
wNQ2vR+iAodyRPXRvicaLHjOfHi3TKCIcSy2sxEMRWlDJJGmQ5x/RNc48MwJtZFhz80CQxmoa6LH
gocJo3x9n8Q4XWK6FTbu1HBgrI16EspaTmHHT9BEjfPqiYlBaDso7yVJZgSAhZJ558oWga8IJ8jE
FKJzxK6W5DFptAHTDLr+ILxmOcRY9u5HiI8EO+NPRA0HpcUBc0nDyNGdwM32sOe/OLRAuMd8nm9B
hjP+GDWD0RoK7KnrJ0n0xyVIEGMwWwLdHMuBbxJZJBSLMCoJa+DRFbDErq0e3PtZ2pP+bD1X949G
5331bAn4bjvVYZbkJsIFb8u0rSC10Qw6YbI52eyyo6JoRESTdQy6ltStP6cvunPy78Uq3SM4Lbo9
l9nHOM5Y7bEzrvNjbGMc+Hp2qRUmmkkcNwWSWuR585zWVgaeSBRnS/jeZ++7dLuHPRIAnc1CP9kc
UP8MXruc07n1Ilrddf9kGBXeiAVJgwObdFjVAtVTuKVLluxBeuO74O3+LJPQfw1gFQ4vUe0LdZ/Q
D+jtl2J2Se8hz+zTmlEXykNB3DlIzbiL6zSkAGt0TH7qHB5C6qQtSPxjIIe9qo1wNlXJpxfrN4pL
y354aR1wGYynVqWCISkEbstz73qrY6TJH1CT2lXh6Feto2LQfmycuHvrYnf8dLkSYavp+qch8B9z
i/YMXTE/XRUUZVL83jyHm2rVV4owm3+mpNtPxNnyt2LVYQAlBQRsY+P/oHtEn6dVsZlW7cZdVZwU
Thlu+VXb8RF5+lXt4USd3epVAepXLWhcVaFp1YdUa4mrn3XDgZDz0cG1+rDOSc9KuM5uXDWmxrf8
u/hvwlMQK1oUKEcxGx31JA/CyiR0aqNX+atyRdb855hmX9ZU68exs9dqqH6oWa1d9BYppvgb7Hq4
zcY6P/guDapIYtnbsApmc8Enp1pFtGKV0xAuvLuG9MY5Z+D8WK5kRB8HkNsRuILlWF2reuo5XeXd
HwZXBNLT2b1pKLJ7WaZYUX9mY3Ve1PxWOl5BxK/M7iUB+mu7DN7eDKRc97XTqVud+PNuYPJ3Emmd
PU4MAHYeSB889cXcXUfupL96tDNqqRp1MAsjPxm1w8OEFZW0Uv8+2hrhVkcuLTB57REDbuM1jGPc
Q7kKpBn5AwBPo73F18UZCHHpY6LrBAWPKQYtrvFHHvbJzwTl8ogoLE9sq9OTSVtaD1bptllF3EUm
6m5chV3FKQ/dYpV8aSi3zhTR01gieeQnyXofdu34M8+HZp9Q0fxpROQG+D24UjvNFGIu4rK2QUXx
/+SrMk3VBEFLRv37aIb9DAbEhjJVHkBiF3cN1Ow3oqvyHKyKt9XyXMlVBVerHh6txOh61chBqboY
U+l+saaR0OCqpWerqu7PmgIOECDuS8R58t6u2fM2pkm8LxxL3LBGSDZEaCRqy5IU6Q18Q49cbjVZ
kK9UOb6PPU6nXWv53Tte4T7m3qWd5zIw3Us4uPKzwD2mN2E5Ukas4775kBRHfM7KBvESp6wvF9kO
lKmw+r0tpG2YzTYVNatwQ6FRFGWUfKZq5n4VjLn3axKNeGvdesE3F7afenY6LOt2+N5CYdgCTW5v
U05q+YYEYsEPVNRUAEbVIZ9C/4leW2fviCG44ZWUD4Mjp7ulnNTnWI/TxSFHQN1dlOxlm1c3ZvSo
qcmg4UlcQRusyx0kBTs/pGVtPQVVGWyLmli3Q2EaS3y7bdq2+WqbXuBmhcsT3FhiAVXRxIgP45w6
bw23jQx7m86/J9sHlTXYZg/XRQsyEnOabdoGKGzJHXKXgsy6kWFuZRt++ZQzgZ9woXYz6dfANya6
/zC5/XDj3HkJi4YHKHcWfgYLgItBlsISm6bNm1/337IEkL3vSbzBcUnMd8sZlCoNi2WIKBVGOyAe
wWRZRwJdv8qUwZbTlpsxNJ+VDsxOsTVvZ6UotckKez2MvbHItGdw3c92MrvHdMytS1qQBqbiDTZ8
XAV0EILAHkErZWP0pHLpPyReUt/Ce1o5ZT4djwgBKNyqaS4zVI4TlTs8DhZDv/OCnEFKNvPWbao+
lC3ttjFOfbYqySeNzkQNlfMuh0K0Y+gxHJ04IdDE4/MLeataNiVUZ76+6i8is5HhuUHhb/TUE8mq
q6H3/cjePD+tYlqzUQ6U59EK5mNlkX0qGUo9BK79sM6Eftj0nUBi78g9oGY1xQMnOyBiNuvVXRZG
4A4wpOMbidesHqUtpIJCvfjM3xa183RWvdFLUQnCv4N45GhQ+VtwG8mDW+R0g8yhvFF+JrZF5dE7
Jm2cKYnhc1khRmExrpMDeW6KgnIKEi/+wCxx649u8t6nk3uQ4Kh+FMaz7woy4FQzZhYLuD8Fj14+
9nc9323b0jh0zRzbu7M7QuWbJG7DCz6L8MZr6VNwcyMvnbK7S+7n0ZNAMjk0yN/pzm34nBo5qQeG
a1JBrgJhiLZel/t+ssy8Wfyu2Ke++Y1vGz+0m+JESV37i2xeeZrIxj4LVib0yNElBd+RrgTyXR7I
76WHIbCXh1gyfcODTzbBKeroTpeqe1wsTUB37G3+L8trbsALLJ+a7shzF3TFK9I9q6BuZc+8UcAy
YXjlEL/v5AN3AvdNZMZvd7Y9ceaCqeZJNjOS55uUgiiuew4QJ9d6jdQkQQKQGqQKLeXd7HCiFLpa
A/8uNm8TWSdVie5stQQ8DeHtn3bOAcRKW8Io2FpYjOUN1/Vj6dT9w2QDWhvKiKniotlI+dcAJHpU
31Y6nA9exXa6a7KiM1sTJVR8ehmf8XZi3CAikxzHsidwUVa0z6wwlzchFuctmukpqUZTQEzwh4XI
j0BKDauGTAhEgO6llBzGD3kgNZgtnCzNwaqY5V1wB7qMZLvW5bll+DGiaqbWO9E9eY7srGD2zCG6
pPCzmJ4Wcin5pQ1F/pyFC8IwwCeGvUsggnlX9Pn4XRCmPy7jLH6W7iKeIh23zoEmcavfF4UQ1SGg
Y4VJCNlsyg0qYDH4BgAFyIhire0c5y55OtLc76OP+WuybLT9OJpt/6TlkIjzwqj/Jafi9KP3kvlo
FU3/oKm+RJwNevk4mXRh3EaX3rWbGcR5k18/sN38CJy82yWRLEH+xPFPq/WyQwfyeJPTwX6WkVu/
FYTJMG9FuieqkZE6bpyKQYqCiFwse2l3mh4OGUJPaeP2WalJ72gxWl4YXwaEZN3w6hnBiKGYo+6W
FDDoPhCC0RdTAwwEKd6GcrPiUTaW1pa/s8IZek3Q9Mt2QFj+yElyB1xGXHOnah+QcPaYd+FIZK0R
8UtJcB57M0niUgzUnVahhhnITnBDy11Xb3KsS7+ijNqWbUbxK97/tp4maL1W8Bh1nqc33WyqGB6I
oX8W/dkNdlMbNeXO81rqH4xxrxWhrEfPuMs7g/P50RIjpI3YqY45cISjkp336pWlfvA6RQ17hPfj
0NICRK1TUDzIETrXvp0j8VN1ZfYj16K6KMuB62i5Zc8I0sl8uAAa1cVxKv4EPkAXXs4pa6tCa/ow
iwJVJzhcH7JAg5rKcv2g44EWjNAv42Zb8kI8tgVhc0zsbvoF6C8ciWs6znOaMOjd5Nhjn4s8dPcU
unCBJkdB7riRwVbEGRcpXXvB/dA68qlPW/vJnb3mwVjQ53CI5P0PBOv8XhC35C7fR+LOlitOIm9W
g3queudVEEa+5H0sgLP2uY3OOzL/RAevw3NhrOR3XtbLZwfs09/PGQe2zWTjd9lN1LDvhPG4xi3D
VL3ztE34CSuAfJzgpH6Qtpf8ni21LnB8iAKHv4TP0wV4oJY7CpXCMxQmKlj6Wl5Y29mAZGx/SX8k
qBa37HxzZ1mvwsq7Rw149azTAko1manT4mXjtxz9/Ch4bIlDRnEfkh7W9MkWCWmvCoOfj6Fmq4Rq
bqhxCc8B6zZKdls9w2cIzpYLSG8pzfjVFJgQtoug/aKr7OamwP/PGS2t+0+ng+qyT8ewfeKKxPS7
a+RrOXnRY8Tp7PfSheHz4g78MbAOgYbpP1IFM27AcYLckYfwfxT1D/uR1/C5wTfwmx2ojqBqz/GL
tTheggMT8OK+ldl1rEP51LZlYJMRs3qoDaPv06en1LX2wurSOXyRk7SI6IsIr0I3TBNsU48/F8Zq
64Y8uXfRSMyeqCclzymhvaeSXBxFbXHhds9k4pdHXSKxZRxuUOlz8Yi41Zwq28mA6kI2cksNamvq
uWr4+KqHAX/eks3JQz0ZcebLUloneuuXdgiu8q8foN/gLOat/uTKHN2P4bJcja6/epB/dUk+osf7
t3Vhud8JZXCKzt6Mry4kM5XFzwY8155Ob8A/gtHliWBnUGy8WeM8cAkWEITiXCFCPjymUzu/4nO9
GShPO0xcX1FoRiYcVl4nJ8Wx/WeYteKa2DZBLt/Tw5PPgZ6bQBVYE0ATdrlJ6+6MUQpilwF88iMt
9XCLuvq7HUqXzIWSwUOWuuHdLFr/UTPO+NmEkR9sSuKeiusu8k028jTNAOdZVZNrmze4lWxmCiVs
1u+O8jr6pex+pMKwlXQHMnYf1uKk2dTbgCPCZQTS9e6lbFlZHXNkofF6iwN5xk2C2tJuRqd7Q09V
p5rXd5/1qr3R2RDt7NAGt2DsqD3aHkiNJktBpOZK1T+Fh70Y7XDcV8JE35Ns5GUGdsos2Il+2GFm
E04Zq8jalvaE5SoJOMiGBbqVt4zcYFwnmy/SlYxy6t7bRag5jHu74LMLIDRss0pZp8SSPJHMSHK8
z+Vyp3TAIheHfac3SmbPQYPmQ4h8fslD7X9Ri6x/gRBWL7h0YROJEij/fkwgYIq4iPCBeVr/7Ev0
S3yiXHoYkXI0WerV0DYVLMbTSMCEZ0gRt0tLld0BwrF/4TSN6v3cJYpJCqxhLmmxOCUtVCx+KcoS
2YOp6OyogTWBStm5mrSFSBh0UEZTFwgxzkvz3keli26TxQfX7djzm56MU0I+O9m2UISTnQrz5W7M
E1ZvNbvlOYyFpOkADAT+aBP+jnF1McuzUfwwvbXsVm7eJdD5Y+AkXZ2TwWfQVioec3axDSj9YtoI
CCD9baw134b6lPQmkZTKbIEROa/VNKCjuE15oZNcYzdMLOvEkL0OSe3K9X+Y+dBtAE+7r2i2HgBZ
BNFwW0Mv/uopYrzvUFAf2bw4u5AGHDH0sLWflF075S50F/3BvJliGfoQX9L1dlVHig7MNMb75qMP
7ufcLncah9FdFE/uV+m36yYGPs7COAqFxxmn5BDgIthS0F1fltp2IGn2+t7YKN6esw7Ja8w2yDTu
HkuPwyeLMguQ/I90C1xpx5u5XcuPkUP42SRNdYqsxtoT+sNCZvrpj9MFxR38hvyepiXWrwU0Zhja
za01de4Wt2xzS7kXoAdnlPYHnsmcGsusvCNq5O5bANTRFls4rikvUB8ZgfPHYZqa27bsQWxmjrX3
XfgXlRPa0KemcI9HfritxzZ7oJapGLZkyfPdWM3Lb5l62U1KUvU0LO18w3mdMTEJ4eDvIPj/27ml
//cCJUzlsNL87wMll8+h+VSf5b9GSv7+Vf8ZKYn+GgQszTTKxH+3//zDF+TjC/IDG465bUNP/6f6
bif6qw8yw2auwA/AuvJfuSbH+WuAg4eMFMZD/kFE/51Myb8nSgS4+NANSLaQkYpISv1rokTIgNEq
edU9DQw3hsYNkZTfTkTEWpU7K1GPFIp99z4oyn96la5/9//8Dygv676i5H/8BX/Ev/mCBAIVniiM
q8AT+V3+zRfExMVbxFLR5kkkkQro0N5wjOC8ybDHSTGCLMg6eUgoZ8NgZXnSssNdCIxmgZInu28/
iIkSczBiHtMgv3zg8mkv8MawQPc5tlvqpwPWaFua6Eo4QcvNyBDm4AUJ0Gcm4cdFTOHZSpU4MC+D
+tAYjAsVEfINx7iHOUXCEp73u7CB8EHvORRI3lt4B4CD+waDTU3HWWrvheXaMAZwUPt6KJ487YiJ
3tDJuwfrTPNi6pTootYAL0kXZGKj4iWNI75fYrQ84uauH03AttwVtxhA5V2JULvR8eIsW+q0uQvn
Zc4Xz4acKgTA6bcnLP9VhZLuEDk6KfPleLgNmpp6VZqzN67I2as6pPetq9ZTSlWkb/nsxE8imDRT
zKzbpeASOVGNj4ZJ/i5Bjv9Qdurh7B98i6EsJlF8lWSMZkuq70S7sYY8EFN+x+go/lLdzAptZgEt
dYjtV4yckn90ecZ2SedxRmt7cgMYeWEzIq8wIcUnPR8jO8oumI9I5oPNo1eVw5lnBeKeXmX/waZK
LNu7pQmuvVWGW7zH9m0uNbfUTjdXnc6sbkuasaMuPRFjjOk0FtO12Bxbf9S3UxGpA2SWZrsm1Q9F
rpZLo6futUfhGplrSNIjoRe0by6mip2L/gIPruT0fhyjKW6vqbse2zK/BE9RmVFxeWj6euvLLlab
iXTyDfmwvEM6tpe3unKh4uJTThWSKsAVbnmkvR/4e1jNiFQ5fwIrDGyO5VOzx/EcXzMxY3uyJysN
GNQKzEWY1E6jnKBNR9jxaHxiPlFyLHO9o0/RXEd8uwveAgOeBrnFiGSHsx5cqFYR2tEgwYq1BF1P
SS1D0F9t0N2NY6Z+9o3Lg1T29gfYKwrWVdj95pXJn2TZxA9hGTTlpjcVNNDcH7MP8sk5t/ExTw8u
iACc6ZzRr8wH+C6LmznQj8tYbU0V+j9h2tLMuRRrnMGfaMHIp4IbFmNrs4fM7h4Iw5tnt128p8aJ
uHzOjqsW+K69XTOLmfRvePQiJaczd49T4sQ/Gf9n70POq7f3o6GFV4uPn8RYKt6m9ZbCPdzRe+YM
+rNulXyluBPrkwvC6rPPC+4fHSVRWFgGbvoC0KNNOK13/lj0Nj9nqqvfoBMmj0J74UeDvwNCt0eP
8Y4bqP2SUhAMEsSZym4/NkAYWtH7e2lGqk1SihkoYipEiQXOGzHj4f9WmD+GimYFoUOE/YwB0D6z
3ejoZBNMKmL4DuVdoL1MSPHeMaNQ/glSUY8DL0WPXbjDM52mB49RC7S8eQOQxXownQEa45RR+cZd
NkaFtgGMbQUuv9+2PeAUENwFbvAb49oG1h0aVkI3PI3NOrMR40rM7YqouFp1lV1dFeIVGMgRQkBp
nPkxJ2fyxlsKwLQTNYSYqBP7xBfDcwpaeOd3/szQMKgfK2d1InZSiE0ndP/hSbyeLGa2+cEYSPxk
MecdBazJpFuGDsRqRmdWvO2nFKdVqjuGOFZU64VCi5mzu8Kbc7JgOI4puZkNP2FsbZ2pYVmYkiRo
mdMu0/2sxPxW2QMN1wukTurJpxhSEFlh90eu5MS5egwC+FqO1QAjAYZxVyD7Xa0g6l4jgmb1ViZT
GO0ToGIfMzyqrz5dYKbV2QqByOkwY+ziUga1hT/JWAIItUlPTgKYcBN6XnkP6cHOrq2dzoBvReyd
20mk2VEyh47Pxhq53ZnR4dM1tHUOMaYvrM85WcVcgAqD3Dduk2CLgvID8iiEVedRsrqbuyWlA8hb
4wE8OAMUFNAnq1/PqksA71BSYVQajucmkPwVJ8AHpwd4yQNWGb4kWs5xMXXbDpmDgNQw/AwRcsh9
DOEbOI76PEHbuixE23ELytWbzkx1YKQ+GpyEDoteGuXzPX1HEepcyUq9oNhwx+K2jR028EMUECGe
dYmnLceDDE8KoAA65BgO32acssdBeB32XBoq9pMdz/dRPTsQf8GfecDg35s2XRHgUZtvi5BtJxVV
Wm7wF15qF3OFFY7yAlMeJDo/+ScQ8/txzhL0CjsweOSE+ytNgureT0bJ9AH2ATZeLw8JFHQ4t26S
1NgzaUpUJXwZIbkYoUpz2wpTER4jXf1OuYLNGx1hoYU6oCNw9Q6/Gw5O87Fm8F5YfrsrMj3ZHFub
Hy37860gqAfKuXKrH/WoY8yI9IkKaq/FOrwtwhxddHQQx6RZ/ZTCsgfy3IG6+szK7hOduFc7lEDG
zWxtoyRfXgM+SL/hItC4rmCEHnRbHV2gRN02auGvbQZo3l8L4CQKUnsZBts4hleyvmnuI24NEiFk
GU6j7ZbVbT9N4Y9gzLLvpaQve+tkPYkKB3wkLxzXtAEqD71s/mnRPuzxNk2iDwMw95PdJX8UjpNp
lq2upuTGHQesua3qcPduelmGD0xN2zVJsfgajEUDt9XyBh9s0xjsNEEbPgRAHbS0is/ejZP7dmrf
4d5CxxkIN2SF0yLKksE6cDBgeoqJIZwuJvMFRBJMpAzkCR5t68QvDkzqoczXvBKII2bYj52Fcly7
0e/eVd6lyXCLYxvBkEZlO0P63rLE7eg7P3qR9K+l9vxf3H7jilIhHrN9TM4E+QHDScY8JVTfkbCA
9PZjOBGxz4PoyfYEDbdrApKmXkipcpfpseDT6Y2MV+bZWxOHU00E0cYYiuUUvHN7GSfff59VzxNF
SKrhIIRAvvXx4t0Mlc0wgTAX2yUbvPM9lMymWKcrPDZDA9jNGn39IHIurDsmXNM+w9HHoCAL6RQu
ERjOeU8wL8mHMdrkgY8xtKQSZtsFpfrp4TRZQ7+59TNFghNbT5oCjdRjFYgxhM0bB+jycxN1EM7T
CZMIG9Uyv86Y4tmMgfDLk0nAIqB2JkDMyoKG3zs0Ju/JRpONDtUsZgazS9UzswRUc8KEEH7RYgQ7
0YenF5PBHfou3nrKEYcAzvf7rN2VUL5wYhuSzNmUELQZpJoBa7eOpi0dX4i9yrF+GyftftjBtlGU
LM8+clbBYA39M6oxcFtmLVGik2UhNqgZaDyMBWI3w/hsV3sTHBnESjwozU0aM28GhBb5jwVzVPyh
TYRBaqj2YZz4bLlTcjVJAKsohAR1iIYaFct13nkSve85pw5+mHJc/szq4ms4DsNtkemZ3GFRhU8L
/pN2b6s4e7aMU9+548zrx4fiTfszy1XlYU48RrIw74kfyRc50N5LADhg6kXQSTqoTt34HXMa/O1n
8Ls2qLUZ5kEPP/qW3Fz07UU0FBDszrIXvzMtW6x0fdBX5HOAo1O9kro8hTAq5ybbOaOZv3MLwl23
9PXzvLCoYE5LOgSr2oTkS5uUiUyilHbxqns62plSmzOhcoBcBN0m7gHstHaZMcAIfJg8bGNNX93X
nOYRz3G126dgqAZ6vBGKupKwdEtQdb8wu2JqBdR5a/e0g81uNG/buPDoHOnH2SZ6JIDAV8nEfm9y
ENlhhvTRJhPGXUqHOAmyUTKpSxmi+7vW6Su4LCApIcF3PSckyze8tKHfvjqqrg+0Dpa0YpadfaEX
Cdu8kk0swfbJ6t2MEUnClWb1pwxTgJl9mHAqwnHMEdFB0VSbdHbbN3v0qpdZ2tGXC4P9hnp4TRN7
zmeUNAbXPNTf4rPA5W8fuMYGD7MpjbPxrKaKN1BvnUvMpLvZxGj6yI/kez38MZi6N+hd5MX9tu0f
AfoW0xaTM5TUgbqbnRgtrjnSH+wrUfneuZChVViuB99+CZsBO5VV/WkW5ELmaREiwuCEGE6n2sJu
EYjUOYthDu5bNXGEzBQR8HNeR/Y5GbgusywH5UkVwXCVsH/g1pU+pgM/4Jo36a445q5vn+gXZ8Rt
tcWXCCUjUS/MnQu35OAR4P3FiRZ7M/ftqXbd5V5nJcB9Ue8Ul699y9C6kT6qUQt5z3VSl0CueJB8
AB5yulKx5qoOa5xvc2/g+DG0k8w2JlQl3ZkLF4sFbD31T+MGLK99KCGJHpveaR5nX9XX2gw0czmc
Gte59JDwbYxf3baNk++xO4OkNprDBaH9By8O5AEO1w1RcGdbcL5MZTlfGzHYbzZ+VKKMdhGDLJbv
TKKxK+eueJpgwuzjrjCHoNEPYWbpeecGo6BhQccn6Jw+deyITxMrFGXXcdLnF8fBDtoOebTs7aFq
iMe18XmZYDszII2xv7N4/4lkeOwjW37TcVFe0wkvp5qa+EeL7/QcZi4IjF6kXxEb6DbkBYLc0PJX
iPgCfs0JO+75L5bWdRFeGML86qD+TZnsXupB2aTlE0DkM5HzF6/OoOwxPN5MCN03IXmR1y7sy5/J
aC+4HW1jfU9j2MifXsk1iANAjjmgSSJ7OQ4FFQyspNit1Vo5c8rHrvoipIF7hAqdfIPblw2s0A7i
l4NXaD5UE6fJsojiR4glUXFwon48jMGM+JjZHQHDEYwpZAy0bn9XrnsmUHzGwV5HnQ4IZ28ud5yR
5Ln727Kj+NF+KOGD69OMlO0dWikPBb7bJbgJaq4JlJh6tFC4rQSuiECKYu01DqojMPI/XZBjrvaR
Ws0uwhV4iqdYxzeUZMl0S/kBh2iivOJPlMJsy5nkXOQs53uDdwOmqp1xMB2dAkR17dOx56d9TkWD
396o0fOefGVP9T6NbJbEJIIDm0IqpzCuk9D18jo0wTEnpNxhzyCAs2Gga9+OQwdvVCHeb1QER+PQ
Wlr9JrgbqePfxln/fz76Yro///GXz68aN3sOoTn/rf4FniN4rliS/o8zUuwJnwrb0P8CgPqvL/5H
hJLAo88slCJOiDBEHv8zQhnZf3WDIEZBs8HEr4nJf0QoqQSHgbAyoOzYDkKxzmtlO6rsP/7ihH8N
cWeDgPIdvpQx6n9nVApY6t9HloQYIT/F0BPXVKZNavSfqzXtpJiInE36wC6XuQftyAFLUYGZ38Sr
vuJ1y3ocAc8dbeg6QloNQ4goQGgYOG2UUGTZY+HeNjONUe3YdpDKkrq/DcKweuaAYL0ETpKdUmzz
V1E32WWoQ3t14ITQszVe8dBjy+CamX2h7S70OpoqyuDoIALg76zelrShOyKp4L9ho/IJuzOY3hLI
Mow/2hq+7LLe+A3HlZuKKo4IE3Yd7MlmDJcsQuXXUUD62rQjPRWJXidbOFIt9hR37u/z1nAaHqvF
fk6CvPpAGEufqTxDXrfd4ldPI88dvjCKMA2Wql9pGwc//yd757UcuXJg2x8anEgkkDCv5avo2TTN
fkHQdMN7k0h8/SxwNAqN4sZc6X3eFHHUjiwCmdusDcofQsEwdu8a3vA2tFdQCjm4DWVOD+asnUt+
YiPUPXKGdw0jb/vK4qtTyZlq3NDs7ZLKX+p08kBaLCZRRZRkIUj0EaQAfVYcKpCjIUhzBkW8/EN7
4TKTCyvCL+Jt8TOgGId9n/UoiZhMFHwXkzunsYTZHTqg5gWyEk2pWF4yvgFbArLc4PDArua6ezFp
FUV4UnPKc5KNym2RVaSMlrmt9glDq87OEZ5/g1iUvZPTKH8Lwo3hsZsM9b22mvplI0LTXy8hwNpG
9RbNsRIjfhtOQzwj76wnHctBYmE6OL4ZAh1eoAk0b0kfUdQoiXWIDUE/ogOOD0C0s+rkZ1mULnwZ
IRMyU/w5tnGqiS02wgXUJgYOPEZ17GtANwDPn4RRCmZejF9NV2nkbzDRJ64csLAJDZJ5QZjZy2ZE
QKKBhApW8LF+HqjV3edp5l5H3tg/JVVSv8fCAQVJTqENr4aYj+LWD+YGNU+ZN+qJtb1TXNzBTlFe
/GWPAxYmF3xqrFlWdT9s3wnvwRBgWS6NZi8ir/t7Zji5qwdVQr03nIPuIfCq+aV3LQgFUSms32OT
KZivaHs/XT8vPxgfro/EWPjvdHf1U19VHEViGCgzNmaWGOq/nBs2EynWqyFjYELDoTxawwzwNNH6
Zd1qfVRDvZDuYNMXNkN78oPEAjbZIKORTeBg0caKBlbEZfwj5odr/aVQRjZuB/viJLhydHuXs8p5
Uql3X1jKwlR1i1m8xq0RPz0+cmYv2LVkkbbkGxiMNX9rx3DbDZyWXTfOdNrGRKAiufQJum3k/Y4K
ubzpeGYwHOm91M4nywr0G0SedR/Kn8sCY9Od32bSY7t2TOZtTLzgadZjcw0SgNkk5ULYQk2k0xcP
/GefikOLxfC6oEglVFvxqjn0Q0iaCYQy1AtChdBUs61MUx1ywzmAFHp0MiY58vde9nVbNNuJG+EG
Sb87jsD1UYP96CWUWcm9z/HDHWlrjxrySBzdwLBqKdGVTIkuFeaNu6Sk20s9l4yERRRHtjJp09/Z
2CTPCwH/K5HbVOfawaHPYLlS/7T4QbEPrXQ6LkxtCzwfIgawCossEzeohR/tpVTtfcMFxRyqMeNK
jNo372w0xg2qJw+WcfTG27bN0QAMGd/zUPb9z174a5i8+srLKRvRMnhOTyTgrpIwT+x9QKSU9mjY
PotBZjdLAGmHmOg8vbpR3F07UZK8AXbJsDRUuexHpkJ6PrDMyW0ZsBHpFrqx/9mTXD7F5fAp2tRF
+KnA/PEqUTmmSdF+uexS0FzqRmSTatD6hm1FCuwhfQm16+2MCT+rHwMMbJbbKGgwNOCfyOcmwaZn
lpdMqwj734YxIcDC3D7qpeEt407licx3e2Hfq7or+UpRz2nUQiIBpMRwlKgEyakuB8mt3OO0Ci+O
e1iG2cPUWkFIE3nN4cC/hALkDB/N9s+sTXARtCt3dt/3IwLIzMOJ0s6PyuLHrV/SdN4Vum3fSA4B
L2nCIHgYmk6+GL9GcPXaXF4LIvnPwOnbn36dBReg+LGzSfyBGnPQxM5dMwTVnSdD/7ll+ZgvNzQC
YKD9VDgHAxNgLaNNN1xNvGXrzm4MjAMOz26uffuPaIUdXPE3TBwMEYUbkAQmeBuoc5JLKfA++LlV
5SlypeLBoJX3xLOpu4Y2n90iMsoDA+4ASiPJGtFsUd7cFOxKJdtiKeyD1dbpdWYi/9VkqI9MuZZ3
OQQSnCwAc6Gu03uADlT4F9u+z3gikaBJ2pcxFvlzEzrNzjbjWyN852loJvc+L4zEP8ycU6tK8dSK
2vots5qJDhlL0NNO7ZxZ0PUBCKRu9FSK2L/36/SphnZ2jzwc7XJTIX1OCUPLVibtbezSSdhqUyEe
8L5bkv06Cgom7hulYPwMrEJUBDiSmCpO8075KUKRXGMBoOzWFiFZgWRNDQxrfgCC1fJZgBfeWd/x
gmpNGtRe0V+Xa/qg0V76Kx26N4iVy3Eewxm6DrEhdquYTBihv9aBzh8Dn80Cq1XLSdGIO7QWacRt
EEi27zS5BjMmDmjgvpfdjc/6y68imciV4xHPwR7CPjjfqiNpWsQND5feCdwzO2akchZdM5zXUfzM
BdWhNVbNxYlcL2wcayt6F6uMB9CWlsH0pHi1EOIocDJ7rXMS7XT297XQPRiYTN8EPQtye54ICbD+
KLmNxSR/CHds7u0RpR0/V/nk3ifvByIcI6g0ku0jWo48ZsEc3LI/Eg9XtHnpb4UiYT4l84v3xoTR
22io7Q2+Hf7p2sLxeStzlMApbJSztwnBIuaZzkL9jceqYKnFRVIkjksTGax+dOp67nzcOGvzymUL
VzM3zT14HiAWbu/TdHB623n3GLPydkMWJy+Yo0l3QF2ordtZdcmVG2fLrlc6io5OgjPKHCti0zmM
/J4rFCS0V9bv5DNO3/Tox217HPLSvqMuBAJ7UD0d/RGR+ITlFB89sN9vscnrB3wSiwU3WgMXgt5r
Rp8J3s1C34tZB8dcd17LyhUEwPGBAyzGJ1z85GfCpZXxBT1hisKadJ5ENrevjsya+7DP8j3++nIb
ILBhginXnXeK3jhnQgQYhIUSV8J1sd6GRJpba4qqS9hU4tgtoIUoAg3Wnp6x98nVfsAn7FzzDlKO
xHZfEtNxTTN9ZLLIaGw4kCd0noQEYxbNuPcArP37X9m6DCs0bju9hRNk6WxAJ1m0euWHcwWypVVz
H+jS3yRt+Qw4/bFIyhSecdxfh2VCQMsBj7jJXbp72O5hvLXW1F9FrdffRJEXvjY2A8SIPTrOsbEl
ACBfYsEBpyZWZdf1Y1jX6B2l19yswIfrPjbFT9CXyPEetcbPnOLDcclpPm9nz1e3M14HMx/FMP8K
UiPMpZ6dyZzyEOPyklSSwJUXx+Y0OEp9RkXcHaNKeLyuLM3hMm4oMW0ktbBbxuaXE/NAwW/LpvFP
+aYb91OGbohUK4Ju55V8r0F2Oak8yprdhSnsJVDuIvu5WMQwRFhGzmEyqCwySKYXG3L+o29kwabw
uNzDzRogeq8vXyaJSO6PS80ZIgYWkZj+Y0Y+vfHB9z3hiV7ZLSh0iIOT957UaTvvtRsk0ErpiLLI
5BlUlEUyzZP7eic0K0XgBkzL97lQmLaicnMGLcZsOc9Ti33atzVzNAVLDj9FbOO4ju0AGU3AloFi
IZpP12qHk0YsuqnHrkZc0O1rFy7JV9+q8ERc336Z7DX0Pps5Rr0Y++FgA11ICa8N8ZnGyWKdc0gS
J5TB+SrvHORGZfDbEy7J6KbdAAciccrmmHu4d6Qx++yaK0F68oh+nZpZtDmBOWoRtko4h5pVmkhG
5gqpyJULO7KRWkgI+Ex8AzJFIy2zVVucOcvRm7Lr+76waBsCf1ohjyND3KLPTqyXWtCy6Jw/xnwy
T9r2qo+gXspf6y174E9wyoL5Asf6IcZuhB1id68Q8AywDqfkqMoLf6ucCHvU7hX/ZcJfYJmnvuqF
aa7rMAbdBi10DR0WdYYLX3TJSTJieSfrkn9CTmaFNg47DA9jWP4hUOg5/LiUR92x5WB1KRUBU4w1
+0FKsaA7A1vjXime2Khh7k0S8QdSSvcEnR1iXdZOHEjqyekvPb6O3AG7R7WNe6854TqJ7aSq1OJq
SsWJl3Jaghcder41HONB9ZkruoTdZeCN9M6QEOHTKo0gMACAICRR2cifUOCGCGCgGubDoocMOn6P
VkdF0Z+4s6Fc0xJAn5IYVl0+LV+4qd5hmedyWI+RbD3BK+wCGuB5emb+s/89x3l9E3c5TxILisdD
S3rvuVTrnWIIVLHLKNlXWxHY3Z07Yg6V3hCdpJiq05T7PXxdk7SHuCrnF3qcUhzLzKvPTGxFv4Yu
SFty30txU4UuowBOR8fk1WdJkAOgr/GQ/k/M+ldAYLbnrhG8/yXs97t7L/4p6ff9S/4OjyY3jN5k
i4DYKO/6/5avfNhghOtIR9hKOu4/Esxt+ZfPd90He+4EvscEyN/lq+AvSTqQpJ8t+b243/9bBHPp
iX+Sr+Cqe8pGwEFjI7jmrYm8z/fHtIoJ6Nn/EY6ZpXOuXHuHYpMX1RiM3ExBgdKaHK+rjDAWe2fy
ymPV+QR7ajhDCswZWy3D5obliuHV1diitHSS7CekKK1Qbav6XEQ2YJEwyAO6DaSzDjFzJHciGdYr
sufp9LpTbf3pLmq86ivCapdReGRlxjodp0PM7FO6dRfUm/2ArM8kb9pkTEARRyB5DmyhapQqGX4J
eKgETsbTfCjAAG0MKXkKiUTFnmHhcKwA0jtfq0VEV0vfduMlSIT3ygFSvka8fp/6xNJ39TIwVDOt
eTWvEvFlsgOWvdM86YNNANnvIm0gR32lacGyhURjiJ0cd7pI7FCxZzKrsy6eSTg1ViQCDnke8mhu
zcIqXB7b5A21En6149QzR3eJTzkcwsPCcbmmOc/id6sLfedNVChIHbtDj6+KrrBt6hyhDHt9Zn8d
T4zV+axs/rS8fa7laKX9nlZbd11zI1GnOulh6ni863HCdWbwESV57yiXaXLAOiwGnngD9ooOLS4w
SB75Z25xXzwbeyzqnenB0sCSBBO6qhl3uRWFJ74z7hO++HQyUWSo+JvwXuqV45qi6Mz7vhf1s3Qc
TgdLVs7R0eNpd2HMlokrd+pmqN25/0DkzPtEo3fSPfdwVW7IV/ClCVg9JluSecV+VL18bcd0fMXl
cuGDQDoNYLiUYmR7zW+vsnKsfrgUXWFFBi19oGawLX125yExQIhjUgjfLoD6dgTG1RyARlqf1GoY
9N/ewbTaCNgkOAqMq3NjyEPWSLLVcghX8yEebe+3++1IRIvC7iNwhFMBKiQ8c6jLzK799jLG1dZw
V4Oj9Vevo/SEQ1FuCRnho++MHwKTA2/EfPsk5tszGb/9E5r+/lv77aqQSuA9xh063wHNwXdpvz0Y
0XTjH+/bmeG3qJAnvh0b6KKaF9Nq5ETfno5wquihXI0e+e35kB/jZ1B/e0EEdvGFYolF1PIq+hq/
fSMSWeyaRWrkNFdkBHw22k2CfMNPdPkjDFNC5ljpOfWFopTfNdQue2mW8LbgnbKH9K59AExe2FwJ
SQZm9D3G+XydnUQvshekYJbtK/QhnyrgdRz2BfkPXKx2luCc0lz7+gY9fLAf7C6tXzrt7Fifdk6w
8zTTM87QZBc3LEFWJNl+KHozHbOIAM4ZFYNpxTxTN2IM6G8hEAjNH+AkyLSUxJsPB4zytZxoNW+J
y5Yj7agoNy/KDcCwtcZMiGsOBe38MI0s1pFhmDIkoTLL04/IapNHPVbeR4500ey4ybEiTy+vWu7S
vLDN1uZHZjyEqvHEDguW4exNSH0+OHPHHhemyLBIbyzLyl4GM7A51jqDwm6bMb6zjUrk6J+Ap/GY
30R9EpCHzf36EFht+17PDbfGdV99bS4QwNmQ8HRIgYzu1leKf+3mP1QT0k9oxnafgxy67+U0HO0G
Avf/vdz/lZc7pRz5v05D3Lwn7917D3v8f7zh//br/mZQib8gLxDL5z0dCAHR8u9vePkX71Zy/LYK
/mkeQsq/BBYZ3jX3v5DAOr/ovw0q9RcngtXXcqSEnRW4/45BZQu1hub/EbYJydR1yRY5TkBE1/X5
F//jK15StZ8HaYHggmoxnTwQJzuaJii9SwLwIx8YfxpKP+R0Hk7LusS+BiTs76yE5VvpHiA71xZa
m/XP0rDIe8sP0vr/qHr56bSevYZjnDPFKZIa3Xdqo/hOcAC2LJoHxUn/1XJVGv8QxtX1A1gUOCzs
Wg3kHd2KJ1tXeZGkIKc7Kk8JyiHjBh7kPG8iL7QJS0ny5L/CT0DsCYEzMx3fc/uy/9hZ7dL8RjLc
tvkYnts12wJ32JIAf5ap3FEOcxVxT+QWGJSNvhbfgRm1ZmdggurLAPUp2HWqnqJbFG7iNlXAT+Qj
KbOfLHYbpB5LkNVpfUmaUEceWJY04Um0zJ2bXbuTY4PB+w4A0T+ks0V6AtIQQDiyP4FVeofuOz9k
ZMfWk2axgGquAzclJhf97LXAsS3hmPiw9MFUnKwg1vmlm5uRgU8uN/XG810gMKYPC6T4NRElBzvH
5EahIjBFdGpYQ1R6jVP5BagLuwuSh3kNYvUkslQ3cI3HKGQ2Ig/x9byQJidGowfswS3SV343ug5T
3N1Hygrqsyoa8mHLd1aM1I37mBsCkDfVd5oMzLEbbgjKkzLjaW/NB42NwdyrJ9Ry4w4+B6HYJ3a4
FXpxrVNH2eKVSSw9HscmjqYb4rEm3KrvbFygpbqv5tlm65lqFRsRiLc5IYmCMD9YH/tEPh6DoKfk
EJ4Fp6fmivgcbhKHvnHag2WsTiiFw7CzHSzHfbxI/vfwHfXrHSiEB/S3qTgLU/dmT2FR2vvEbzxJ
jqCZOfolVnHK1khhs4YLqX8R64y77qvuI3u+8KnDsBDfMcWp4wi1U3YNY5w5xnXkA5QSAv/SbYVF
fpCEM2V4uGXOR4MoPSOljnT9EhDjJHxDCgxbQ6v84mj0XyTYLr/GWCdKmyLskr99RlMHmTlErcV0
l51cAq2pfPR22bwGVWY/Eozqfy0QoK5ClZ+mWg6I9PzR8kfUTZz52Hsf5BNsfDKrtmC7bTuKxvxI
K4eLagJZe1I4TFsu3Il910HMIg9b51LvZcUSyAkRs7yBUMMwI6xd8twim0rWi5b2DvSaaHdd2ICq
w8lEwbSU4z61Jml4B8vSw61j8n7YowKqa3eoEpYTYpMCpTNWbF+NDs+ETR+X7k3X2CNh7aQ2YDez
Mv01hLWc976BBObZEMW2NkyrYFczpstEiYherKWIjgsjCNtyhs1SNBbL810CwiVy51d0RRhPfRZA
VYKB9GaYTQLPEvZwxllC3bpuWV9Vopie+tiDxFCYgmdBEc6X1HWde9LwZJPc0MlO41SX+yqFQb7J
0H/LE8Km+2yXeX/VGx3/UrlMwv0yDEX0AP0F08Z3SCGC5Gr1gSRp8jE3VstYAarPxCCgPfLxKNqn
lNPhmSzLuqdSVMBVEg/OqRv5XvHVqKS7OCiYDr46g5b0dqpPMDRTeMDwmOMjpL2AsCx5OHQNPWEw
xvo2aWsKrVClOavFdaF/NDpl9ZySMXmehKALoPiwbImcMfF5mSCqjsfZ0HDEoxFNtssd16MCEPFZ
3SrR9q8TUJU78jE1hVhip3Yc+dVzkNG13+mZH5QNWobYRVaN6+rzGgw+S8s4m4KH/lF1mo9n8rqk
lvgYxgLbTNYZydu8A3uf4Pr1JHJ5hK/bJfQI1htG2p4Qqol69wQqeOzjT184p4XVEzR/7jC2C/B5
ctvosVzlICTntc4gtT/tK2Wnel+smpIYAZBtRiGRmgJfudaVu8gMNTyqJxZYxJjfuKt6FcQ8crbZ
qmk1MhXeZlnVrijN4ydCc1Wxm+LZHjbMQoQ1ZNCWT2L4X9JZHOrnkEvcwvPKTqNNz1c+pQjheg/F
3FoSYYoFoi22B1Kd9y3byVXBS9t1KIVnA7l1Ilpeu024wrLb+K0HhnQF9hVPs3BrfwuGQypOfJhR
EceKjhv92iZFzAoJP0uLXdnDsAqRVZGlXx7wpVfO4vD5AfhD4m/T5TPH2sD59hUEoTkbgxrOWjqU
W7Biy5nAB3porwq00fRbJy09NDXWWtcvQgUnSui8zO5BBBsOCJ3jvDMiv8bmVz3WrMpsLRrt4unO
1L3dVcRlfJV4MWCz8nb26vTRWSVfvYq/ueFgfhCrJAxXKaAtQ6N/usnDxTxN30qy/laVIaC2zWn2
xuC3r11zAvxj30Ya5Oim/han6yXHNqh0vNTc8SlK2+mcRHeA4WZzclnkDaGIruq3paF/ElYP36BH
qoeMPdvWyUhv+EP5OJYhWcAMYvIuIo54dHjI7aJ4sk4ZReE16f2RNcW0herhgeXtc+cXGy5BQTp3
CV6HdHT+0GnAL3Ln+p1Sip2A45nys5jXIa31BSDSOPthWJzcFhryBONHJXiWmelaEAj+xW59IY+T
w22rjCE2FhSRNo0dr+OJkUlQ12ktbVyuo1u/VSTs/Wi5WC2EbIiTZB/dgk7IL4yT+Nqbcr316mQ5
zVyK8YJCEu9Jo2kfFvylj1kM6WN1zmBmJ7G+shIdu1vhaZaS/dT4e2ZX/duptTog5G785WovIVFi
niybF+tGZrGbbv2Jkfl0pm1eJp5YOHr4DVlWnkUkOJ1FTme3GryP1koacbSrQlqXKcvOtkvQDi0k
eGAOh7HGPLWfCs9pfikbFenWQbr9wyxfpTkb5LK884aEHk6SaYuAuVxymnIBG93C1rVNrDOfP2IZ
h1/ahU75UtPfWVEZdv3VKkd0DzqSvr+XGfLZxcUYHa7T0ObLGMfhaDbuFDVfTlyArQtdmUzniOQ+
zHCOc8Tq7ZrRFuIh049WBCQa09wicB32uK317JXLo9O1j1PfQMRTXTvB1Au1eeD6Rm3FWZIb8v7p
KVWmFzBwAa52Ca+soRhKci9uMtdbYp/8mHAQH+7TpUvOJSLHpcqs9BSF2rkTrgsCrByY/qOtAcq+
bop9SIaJdzlnkK+OdPezqvxkj8ogd35NVpcHb/BiWQDgiXmLYDgHVeFV7wZ6f3PkQRs+GTI5X+PU
Os0mdrvqbgx7nOeZLBWhE21fsF5wkyRb2duije1XSZ7uxeOsdtvDVwe8SWJgh6zngcYrcZ72MFWd
DYC5pt06eeN+8oIsdryyAujygeW8DlH/LrsWvD5kJ3BdsWR8jFh5+2qnak0fhQnOtYpQDbZWaqqX
Nh7jJ13nRGKBficICUL90C10soBPcit/wrQEb9wuhf4c3BJWgwUGyo7S/cyZ/J1ZYG+LGP4jyyVT
ujhq2KKzcsILOJ/QO4nFnpZr7OLcHMqCCAixNJZnd6G2/IwUCTXBk6TABjHAIRbKM8+H3SSI5MWH
tB2bA24qUzsj3uFTD7RQbVNs+B9pluN/S5dXeWLy5rEzffzIZ39hu5q2AVgkXvO7ahlHxrJSdxv2
DvJI0TsHaXEqgBX22/U8Ys3NGhHHGsjUuc/oybyW8EbpTUgWCmCTrfD8xRH2Dajs8d7V7IWUxJRA
T6T7lvGlC/5FvSdV1m+nfvqVjzqFiNRTBIJu4TNh6yRK3bZzODxqK1qOsZTpz4avLYz7GVKU41V5
fSLeZXm7vGRAdy+8BM0KVct6Q5EdrUu2wnM3WEL+s3YmtA6IObazLbuJrmER+PMm4kV7S8iAy1nt
9wy+9mE4/4CMCf6/Rg3kW6iWNydN9C/J38KDupSQ9An4ejc712n6o+t0QDNkTOsotXP3DlNMPHHA
5QmbLdAZDOycS+TU8+8yas3BM35xhsu7pCd6uO4Nl4YgurRZIz+yunF2hc11Zschg6BwsoRox0sO
lWMGEdlQBGWuk+9itC+LlgBwyHdsoNfrkCXkh9kGuwM18IMfX++6zwtMExhrvN3RdQFbJEnR7KaE
XQMB2R4WkSrvpOAwtI8Am9kXkm2Rd+BGLKCIplbGrYrrjbflkku+y83lLwWQGH9mGLm/EtsmmwfC
BKIkPrBnnruoZ6HWGpwwO6R9RXKz7dR5Skb7Dfz6yntQ3SlveMxjddLsUiT0j9hI9R60CjhIFYAb
J9rAmgOsDJDipfT6XziZ0V3sT+ro2V3yQvy9CHaxaZL8ELF/9bB0A+5hW+M97vow8kj2Q7La08xE
oYZuSFZ/kjHnGgXt8S5oAuDZ8ZCGX2noBD+cPn5OwpCBX5V5tIsg9PHRXfwDRQRxZIc+uDDeq6lR
tNW5mdPm3p9asWs6z+v2vJuLYm/SsX/sImJuZLl8s0urtP/MWHwcDqEMh+7kD0RVubIPX82wTHc0
52v6V1Kgq6l6tYUlsKp3d9Bix3S4/YeixPJI+R+qRpF617SWPfpCsbspk0jf1NNyFfuhGjaFqkkC
tOV0yl3vsx858OTMc9HFqWidJ9ySZCuOfVZw4p0855X0zBcfN6pyJcH40Uu/ionVoT6Chl2kAV/v
jBPybHu3bmk1l1L1/IWmmnwAr+EDsZj4F2eKErB6arwfbv7OXpva08NXHPQrZ5caBSPXrRXGsQBt
1AwEGQIaQzw4d3XdO0c7rfyvkUrxKRKdeybie1qqgMKaR2ho18yE87Kyc350tm2u6O+Ij7BzqysS
7vqdhDuJ+yincBMORsynIq/BvvKQ1J8LAjzAmNxuaceqAMBTy6GrlfzbceSt9l1hUpv94rXqGnpm
d6pnzvS55/gkNht9amgK8jFp8nsdOObWU67qNkoX5loDNwAcqoflt8l6hOScE+RWuWXwZJTnXRvJ
aorXVy534oJKQ5MLoGlu9ruw5u7YobuuL5OfbQi+YLPUarzpiZEciN3W2bbB1oiOJabzifL3sS0A
cVdDMm9sZ50KzYE2P3Pcbal6m74hsbzeOWbGdNte5X8CJwnpP9XLozbZ8mYXsfdY1UAiNoDk+i2r
nQYLWIz2NlU8LlFujqouzlrGzTEBU30HO5o9OZo91laquuKww2TGwRnxvmN/UNdTwf109N32p+7E
lW8bcjxC+eqRCbnh1Jbd/ABJFuFIJGUANS3/SRxI/IxECfx97LpbShf2Hv1cHhpF6ano9a6Bfc+k
I9yDpFXeXvlpemmYs2gdM56YN7ilZqS3buu7V0ZJm4NUuFCMcVp6x4PijjxhsfUxkye8jJm+IJBI
w7685kGV7fmRCV4rC8gwrIa23ZJSYZjCjp9o84fTMYVd/eR5c3/QBAv5fISjugtiP6AOm3nmRhcW
SemREdLaqYqDGdjkWJa4kVeznTXDHjWNEmLSv1lZIJ6U1w4Wd5Wlf4YazGkvzp3Xds7EERglpna9
iFPj8f0noDyQ4gFNcSF9wDFEJ3o3KaU45yy5/zFXxTu1W7ZNa8he3rCUvyfjR0eeD/Ujlp7mOBRZ
t4UDLNWN9CtZX4wzFk5BWzBCf2RiEfhuMbPoWfi3DeRx+LdcBwZinVxvNpFWKfnTrjr7omN4YXDu
oQfpLYsX5Dv9yNx7rllTAAO+AKGLzSqcZNRFjwnrsWdvXtCmTL14L54s1Zv6jqIB1phIz1z57dAc
DfcNWlEcbCkMK/OxsC32TPtf/GEfB/DqEqr7cUmPmaeW4baxTK5vkglvkt8rIaVZfLbKlv3ecvr5
xNHb/Elg3d3nvZInGsLtvhPlYB4EITd3NABbgsGONsb0CSepRcWS47BP7z3PUppHAZeWB+GUtBIV
NmlS/F9m4Pe/YivYf+uw/P8HxN7zdQX9/1We4df+zV6w/xKuDAIqNZ6Hfq+Q7/8+IaZ8dBth276N
xPH39otjM0vtS8n0uWM70O35zf5mLsjgL/4DbkTgOxj+66/6N8aniS/8k7eAq8Afr3waDZRqaOn8
T28hiUzTKccDIZypsjhCytXLVqjaIubuq/feRPLBNgRwW573kNAW+hICRZmwrUuQSitfX3NsTrf5
hCnNdBNiSfPMYPCugty99aGS7BKvLc408DiupeNwhl3G2Gk2xPDpYPyvMligAOmZkusJ1DXxSC7f
OVQ00e8k507GM3gIZ9XI3wLFAdSph6Mpcn2yqqb7HVPM2OLcjREq1TpISJrjVgxjeh0DKNobQL+Q
Qcf2UEoHDsRQpvsexf0qc+xwG1K8ByySWcckc8KvbN312ygC/we7j9wj7xjxg+HA9I7bXXvkO+NT
dJ5z5pcHzU3fTmmIg9E9yMWvmK0u4NOC1CNwEtj8RaENZccyaEnuxhOPgm3i0mKzsQYfwEPGO69t
6vspcJsPwSn31s2Zq17o3YXiZqlTXlhucVq4+k2Tf7Uo85BYI3gZd1wF5xvSid1udv3hsPY5F3Rv
Kqa0AOjDeQUSiFU2N00w62EH7th7GmhZzYjME4dH200fUPmuOt6Imwb6P/KKQo4O6gBSaGlC4k2A
sYGdjrJ+JwdqbkzXRb/CbFbnbAma+6W3CX4t0vKeOAK0ly4zPXqQJRjAgfq85dGLmBKAn9zAD8rP
Xjn7p6lv/RMC7/Q8OcpjojFWORrYAgvYsexrnDnrXMvW+uydIaK0o2it80kD8VRp/1UXnrxC8OL6
HSegjiGRGnAnZfqVepoVFD6VJworPtYD59+jwGP6NcHwuvPrgCK0LbKPrqnf2Lzy38Jw8Xl5Vflj
Sd7znvgxQPMU26SBtH1dpa1/nRUjpw8b0afr5+uonmOmSubq0LWOdQoR3Y4MV8gHQn3EhiEd1Q3i
Gp9oBRZ4Y0fjLapqflPMLu0qRhFmxMLSvjZLV/OwtjP/ZfBJ6W77UCdn9srMjzmN53NJWfWe4Ofo
7mkLT++OCvQlyj0X9aLPjlO+DL90uY5Dkfc/hb5wnmhSw22hAqLvHCvrfhVYIR0vCNIyKFmWam9D
RrK4/+nS6nauTVoOQL61zx0NMDkCrctFJp+P1WLxx1TK0/fke8oXeCaEchjCZO2CRZlk38eSa3s1
OfUVUWGUhX4qL37GFc1KRXDH48ImLphKdtASws4B1Jd7TpPD9cTh5Z50IHUe6SvzI2RO7+LmAzaW
29rcT0MZ34nB8P6SdiYPU9f2+3TmHb5xbN+6KqO8JRm/qkv8oSDA5eJUN3TY8/u+0+P+P6k7kya7
kStL/5Wy3kMGOCaHWVct3jzFPDDIDSxIRmKeHIMD+PX94SmlJqmsVGkj697IjGIyXjwM7n7vPec7
HWdyNAewhZnFjgff1z5CaEPXD7IGHgrFDDdNgQdjqDsE+q0v7Z2kB6SAe+bJRaSh2BGP5V3odo1n
k2nf3rRFd+Foz+6NM+uLW6OmR+NJU4Je10sdOoATXQTDz5YqxFfwFQT76AYBw9QoYJSYVxIHR1oC
emePz5t3a9JFdhtGuX6QgI+Ag7m644VT3bomtws3gLe1/O5gNCZlVDXEF4JVzEOQucOpY8e/t7yg
uE84k742BJG8mpgiPrSNeJ85ZiUO4SyNJ3/qxd3QCveVDC4Dclit03OnUewmnZ+eXTPgkS5t+7cy
I+CrsnT96lamtTEIGnxNSHPioch6yi0/n7egn7xd6gTWXoDVIM8p1uthjjhuOwpRvQGN/MnxAaTH
seR4aEs9HYmssy9RQRE9FR7hTEEn6VuqeRNZqXVMVR+8ofr3d00r+scmUOE9fwyPdaf9N2Bmxb4A
HLDrRNncUhD3t4OXl19xiww7vP3FF5KAgi8BUY33vTckezEaDMJnzIZZ6nXbYlA25gTDF0fUnbDA
m6IgpIwIVvraeX/CtgG3qpfq6MxWcV83tPvQkHwTapS49vBLx8T5+uxqRVh9qe25GddT7z+iQCIR
epyOMvajZxBAwweNA73xlD3uO6XLHIiFaKytN4FiWJkcVeOVcrTeMWUBbNwpu77UvtHBQTJRnvbk
zIAf4I0EQ3xwU6IllirVsd/UpE4uNr4bixFIEckSSF50g5VFHViqt7DSy3WRFs0hqAtcE8qi4Bzz
st4yoU6IzzBdOz9lNhxbrDNdgfKshw8r4n7cZV2aH+Meovg6Ykq1VSMj+Rj2EBZcVuaejI411vER
e5/p6ifVzrAy6AZvRaPJkgyK4dE2lFtsexygBxIIp22BXJK2yBggAXv0Z07hOSFi95g36q91b2d0
TEX9FQNpcRprLk/JM/8MDALyMR3qG5z29mbCWbSx2nI6W1rsO3ueDx7xWfuSNJw3FO3fUfryY8P3
eITUr4scs3hpHOiDYKsA7+tW4RGXfLUeHQPkuZv1JyetzCdnGpD+LbFsyPXKqUN75fbAU2OTSUg5
WrsCkildc9P4bQyVd7IExlDej+biy5ryDOY/20xffS86mg5S1P6pE/X8rmK6/GZc3oeZtdDWEUxF
QxE+cQMKrqmQBVonJd+lmMDMt018S8JMytxgotHUjta+NufqPqeDdWmTpHjTgzlshziqTabQw1Dv
tEgZG3kdNp/AM4PfCgNJETDWAMtD5jQ4bNWSgyZ1sgXo6Dl7r0ziY+mUBv6PLEoozp3hwFCeJBWY
uV6+N4KyeuR8kZQ3eWQYMb3JPEbvyc+Nj+QDzXIjEOTpu2Ac1UnTIHoICVj9KFhxJkYnS5j52GBX
s73kxUa7vk057q5lZlnPrT/ku5EBNJGtmW8fipDBrp0Kf2VUibm1l6K1kSJBeJqIpSVeP+LguTNo
PZU1HepRtUdVjdWmHwmHQgCIkJ6jBaL/LFqrVo/fdTKOv+lafEczDigrH969eiCgwHWi6o6ID48U
gL47zFTXhH/Y+uLbdLia2hzOsyMQc4QIBf2F7qJztqfW7O0T5eWzmHWBElxnW4SYwAfIr2bUScZI
XrfRxs3dche3VH1pWeo7ajBjH1baeMJe0+21a9EqFKWHU2gKv2P/tHe8o9G+jGeb29AXz4lbeTeJ
LaN7s4jHfTsP3c5IC2vtxbn3FKGuudglW+c6FXO6cZ2OsbYYgggsmT/QzcaYoEa/+WphTN9Kow7v
C2hDFNSVv1YsUfBoUvcWrS0N/Ty0t1EDBTEkXDdZa0kjGFT6CN+CSnrrZliE1iLR/hbgebxLOz8k
KSPTBqnelXP2pRpIYx2dQzF61lMIVWQLoNe96dHhHdzJyfZQHq1XmmLVqhZo/jJv0MckD6t7n8aR
RX9tFvg5TSN5cxP0B42m127adrdhkBbdObTCmPDOzisbHSp9T0mqg8QTW0fL7JRYhTz4YdeztNTl
b1CZ5I3HwPNlyMpijzPZ3DamLw5z5rjHoJmcnZ+G5rFEX8LoOQzYaohfQ/yLcRvH3Hhpze7BNdsd
51TzkpE4v5W5+mSE1aZBMnk7TMbnciA7EtSZ+0L7YyHnoVtKKoqW2vPp9gtzJO0CJrMKAaSvRoeZ
db84NBH+G9WKBwPRb9Hl+tHMcCGaiKA3U9SFfAMsnDSHw9MPivQ/AKsKB97BTxqwX+u0XzRghpQE
c5lJfMAbjK/WdgG5DgFYeuzEO+GmFahpbbwgVBmfpWUFb5Mc6jsRz9FZTqL5HCaaqT75BIvmSKBM
6Kf6ebSDeWe6BqRuP8NbqgLjvoQETRKsTCCSO9wBcx04HCWMkJGE4xFOwaGmHNah6Mp9PfgOXa/s
LGVifIu8KtrYxljdIRtrD4yjXvumZdzT1S5998B6E33vnzvLhUtNcvvGX6zQZcbow8mzbJe7tgLb
3sj5qGLf/8JJPdq7YkhJJ9Hv1UBnpeufHE4ooO6IWSCue9q4czwRR1VeEATMlwTbBSdwibPFtBQW
rowwDm+Xj4oMCzNS7ndUN9hWDGcxU08Fh8It7L3qE1LrXGzqBLTlSsXecAl9fzrGuP1tOkzCe6Cp
O9y1ZCIZu5Hl4AbkjPhwezP5XofMIWvHgL6Ete2RyfcUrAyU7HPo2ea2mgbv7HS9cXBFFm7adEbZ
I2SfzFvy/saPoR3f2nhuMD67xH2pgkCPscl3Q0Tt5GE0pNc+Jze0tiQ6JNA0EGddrK19NbRbyGHJ
3YxqZ1fiFzuF1K/3iQnTbWWPQ/LIix4cx2DUR1E5BBdgbmQQP0HMiTuOgoXW43NcQG1d95wX6Cc1
ZU++sWUgT1/O2cP1yJ1fj98QjY0zuzCHcvrI7ZYLKXYmtXy+os0X39nLSR7kOGuTXM731vWkDw4I
x9Zy/teG7C7BUhNkS3WQL3VCD+7SWanIkHdtCoGwBhj3XCwFhrrWGh4nMxajpQSxr9VIvxQm+G/0
Pfm7VCvhUrhoFbNZe1qsZTwFzdbuG2MbxYSFBNeSR17LH8tXZX3oGn8kXdyDHY60bTsRocMNz3hw
A7THgKws/x1XosD4gH1IlEN3v/B/95OcwD7Ipd5CT/JUK8cjJ7R+NESSHACcVRfbqKtHKHQQihih
4R2k6biCKzmfCHRoCIWhSHNU2HnQ/vp6HUuOYSvJfYAuajLSbVzwscRm35PN4r823ANybJaSMVuK
R/j11JFQAzI8Gx2dAopMpyRKRl8rT+9ahQZLQVpbdrZvliK1X8pVNPHRpaGCrZdSNlmK2mIpb/kl
l0KXklctxW++lMHQSZBNLqWxa0Tyc+k0n0eMnV+9pYDul1Katn75pVzKa3mttOel6EYQpbbo/JLv
CA2pyfOlPC+WQn1YSvZuKd4ReHJiu1b0ainuy6XMn5eCP2WRLsKOvyXukuD4a2cgW5oEBNL6AIpo
HIiuDzZ/vqI6v4pqLUfA6bYY3yKp9bxfGdkMP22KhMbYT510TiWOr06A0nIBtW6F4JwOLca9N50F
UmARooOGqHf34Fmtz62M43KtKj/6Pg29PhW5M50NabX3km7eGweD6tUmsQaoWbvtzWCuOTzpR1Wg
SFkxb8q4p6k9rCZ/yg5mR9EJGw45xMaLDP/UyqhEXTDxW6GuGjhZhXP5ruaecK6i82KAb8tCRnYE
a1p6Xd/m61rnXNe9eFkCg2Ux/PMLZmFZ+oMdiMO0WNpcCLJ+7hQGzCImZ5zkHqbI0/xmvzXvxlvz
qG/bByLbyjsjv/3zT3R+xZiz51mmE/iW46ClNv1fPnFJBsVQl4T7wZPh17xqk26NZHe6Rb83izUn
6fqspqbz1laUxV8tWu7bmrnZb7Plon+YJgSkZcrIiLYDJ+rtzGwaqnMFins/u6Hxqe1q79nzEXdi
G6o0EVDOkgTaZZM6jE3VXGysUie4p+ORkwzrE+0UNDXysR9nuQcGFtFsKNJd7ljNbmp1c8YJMn8B
HEPaqg7z49C4ct9NufFSJFpdwKdkDzhjo7PIe2s+4/Orn2Iydd4JlEoz6Auw0dIxUa9OZC/rVyHy
T9eL+m9jWi0f9I1hq0pAcrf/9b9//+ANuPyf/kB6eMKgov9Q0+MHSUXd37rUy3/5P/3L//ifdetN
iwfS5un5701+Nx9RjMtv+skFAHPq93/41059gGvPxaOxaP7F0l3/u9VPBn+B00v73vq9787flPRm
wFEJ7y/0zgFHBUzPbB8Pwf/t1bt4BEwXtBRpXQFyJv9f6dUjgvn5DcRoaDrSpgr1pMMPW6YCP/oA
+jDGdApm+6CYFUcQ6pbiWNro2JcViqDYLM9PnTfCU6Slz1HJmmS09TQKul0UhPZLk6bFEQGYl3HQ
zYaRvgP512s6UWOzJ2rWfgla3+asoU2gI4bb3dtu6RHWwikTnrbjpNipqorZrTnJpr6YRjUeYVyX
a9eNYvKqwy56bsk4NWH14Ffre4uca6vnvej9/q12RhzQgO22UJ8IJi6Bu86khA+2eTtNhMSxB2NL
yNpBfUN6W2vkTy2NRr5sdDHTFl674sRzcWkdwGF2qGJ58iSzxbw4AAkll0wktMJcOW4id7YPUzKh
G3Loy5UG5u91kU/eg47t4BmeoNwD7NK0yPNgnUJ5RSrGcc1WBXEBBDnTNvHWYnBE/cqpWfePtIBr
rJBt9WhBAVwG4MlUbCsIAOZFiDCJThorxAMuZ28im6xy2Hfx6+l9KAdOkcxDYSgHJJZEcGFCKPAw
okCKMY6nvRVZE47fnCXFemD1CqY7FYFNerAc02DBN5sQPUm69MriWlozTGHm6qdw0Jg+KoxWw7bv
GTnubEQvbwNIEzLKOCvC15pxta7yWID2Ez0q9hWN5AEbmtcOe78zSU2u6gj6Rl0E+1L11qsb0gPY
RGYUwQVsf0MkRGiQbu4F8oVLpcjJBVNlHAzAsW8+J7RVbIb3ekQiybgfSWU3FsGNrfSmmLDuWUlm
7jyTnb3Kw3RcNa6p961Ttt/tYvAPlTDiZJ8Mc2Jt8gqVOkoA+exS4cF69SFCc1rp5FNuGQgUQDID
jUnchWmXU4pPzaa3EQ6SpB7vSY2sTpg0i43REv1uJvLEfJsjHpELzyHC8N3QVO5p4TjRFzNIYLPM
O+Sta5BV7SIBxTFree0dgveQXgvEo1Vn9w6ibzXBdaugb6yagv+fOGydQ3dD5c7PUpuJBvFFNYTt
Uac4yTNPa3+uTNtK16aoyGmcgiQ9ThGRBNC7+g1nRI8uQ4QHYdDZXSDD4XPHvQ0h/eOYQ7s6TrTV
9EgLaDY0WVgqLiGM+a/E+BYPzVTtK70kFgdLXkE6JN9dwTRfSb9+Kvqo3fu0+bju6bT30qj57Acd
ABZj7m/qbvoAAgeDA41+sSVAqjtkRpruyDczsrfa0N6TriZSA60487/UU2fhUEVQeNT5QN1DU2mT
iNreEo7Rb90BNyPU2WY/B75eq9HN1wWHT6qtRSWuovxAliHSN/ZnVxfjjeeaPZKJFvl8G+X3KI2b
U1un5QkjQnAX2U3INjiE3frfu+P9uOH91/6jun0vPtrrvvf3ffCvO9/f//j/xraIzTzgDPff74l3
35M2/mlD/P2f/D639hlCmwhaMZ1Jm1E0x6+/zq0l42mAjo67nM7kX/fJv+2Gghybq/fNR4NqXofd
f7PF+eyhJNvwb6zAsW03+Fd2Q38x2P10HoUjzhDV9kxb2hjxfo2aSQavkU5FiFSdVxhFq8LNCeUa
GUHGvqJq9Ntg19dWuEVlGBdbQRf5AkIj34W0M89gta0tSSwFcSA4B2qwLlG/EqLzIWOF2ld7Ubrq
ZrSS2GeB4fQYdZ20sGADoQA93LzNCQAI5qP5kTgstB0UZ4e+GCDqt318aJqovEsc3+lWTdQNwca1
iRZcF1ghsPpMDtWRcBRKFSFz55yMSYh6s3babdjbxo2m0GsgVnAKWxXBaHyELdsbQz4r+JoEICpM
U8ubitnBqephFhHEMlcXya7/iXEghhzcxEu9yEm3WqlEDQSj2JR+YObS17TLP+vZTG4SlTyHYLLA
FxUDBEdPvRN8AXRIYKoNVedBf3fyGzNJxX4cDNYCfwkUmUo4S5OBvwcqdWeofBdV5bwNuHRbC+3V
2mhI1TTLmJIHKRM2bXkjkaGdUY4yfWiz7+iyFlUe1oNQuumxtBDVuP4wfRmBQBJXPyNdn02Iz+uE
Y0qOY9y2TyQHEiWBYnOm3IA2twyzXXk2OtI6KRsNDDp5biEMrUedIm0kHPjFimbz3qMUfwzQOQco
rxPqUJNl8S6zR/jREmjxe0V6fHPUZLyc4e3QyjQrxoaVLBbxYsPuvSpAiNRnXVu5zYivxrps+A59
uLmOgvt2IGJm7XUc2Ej9dMoTGT7pOqzxYeNwlk2CM71Ikp3ntPaGjnN6i71a3CZY0r+QBC52YQtk
C415dZ3P50RpBvKl7lp363ZyvFDrD7Sg/ZxbiecaiTxATyYaWg1PEkgZtLzEFp96VzPEhlGk17VW
1kPgBh4oNlByG1eF1aF3/fxQBI6u17ofpk+dKaKvOOLThxYh79Y24ohE2WSaoovmKw07zEAV9XCu
KNc9L3mM8ZcfEFqAk8qicVfA+8rXYTZUh6b2qxtyFzp8iE9CJT0L/rDzjfi10gzRqmwabvuOa2y1
fvqZvnZ/71ZqQMpAm0wieIfCfwv9hqRCKitwA7l9kzYGl8xQ4GWI+CU+xrWLfe7iKNz1pMzS9VEJ
eyssLVgCSigEXhANYPejm944EBI+OER87uwcdHzDuJjp7HiMGIimiJX95tADFYC8MFancm5lu0Ir
Et6lbWsoRtxheWYMh3VHaCuh424m/kOZ5C1gJBV36xHV9k0bwK8cBSk7G0vVzIt8WXlnIuD7ESGG
aPsjWCYPqTZU1+kL1trEfmol2ZatW1bfc4hzzAatxvPqi+TZDzjEA1CwPhFbPo7HOPVdsNDRwIwe
elVmfrO9MAwu5JejH3UnBPGdX2XM3npfFqfE4MevTWuYXuAoAO3su+KTJUanOC0QJgSBtBzWM9Z2
BMs9yzTmCtvMtkTK5J+YFeh9HyjavCz2NG0DfbGYIt6SR1u+5Mp1CZkUHiJeEgHN776f+vsW2fiN
EhWmfCKIdkO3II1wlNp3lTVOX6GpWZ9zNeZrX3UuxbQcWGHraCfTrn7WieCgk5t0i6CvOk31PRq6
6mF2vPAjNVoQWH4/f1coUtFCmvxgjARWtM1t8i32Y2S77XOC7UWClqBbsu7iSo6PE+2iAfVhO3o7
3ACzc4yQ+Gw6Ii70NiEx1TuEYqQFW/TMEW9KZO3iWACAKLYu05F+BbZyfk4Zehbo8Z0Ok5/jgdgk
R1l5e4FjeVjLNshuRtRRbC+RvauJB4KbRtMPjENY7aegQjwVVNzKPLrL2yK/KAmIwnA4Oy1NZxJ0
2HhWqDzqU+8h0Vj1sEv3EwiiGzxV+sVNmujSEbMbE+8t6i894hMIsYQ+QRnRY42Br2/sM3M8UhMa
v4AGXuS1nx6yqNRAgiFofjOdJp1WA23or3FjoGeqgeAueUpMp1ZTY5bB3vNnW3C0m6ZpTcgGytYM
SeVj6/skgBV56sdnmtdxAjefiEZ2sKpM0NGY6qyLWFdogGoOhbVw9E3ugB2kacdb0BrFGWNoctBh
IOmBp+O4TiuWSRrE3aM/9t2uzZX53nTzozOgwgBuEvZPTP2cEhzo4lckT8cfAHMNqFQwFnnviqyY
fJPVo/dJ9W4frB2vBsmfIS/HY9N4s4etb0mcJ1qpW5uTnj4iaK8vrtXpJ5rcqO2rYeqe6C8F54Z3
eDUawnm02sb5RKFQnFmwnROBeQQvpCraaD3dzEHujGsSqxHDuxmc3/kkOl7YVWvleHHzCldxbzs4
6cTceu5tEhctzFBuJZZRWvTTDlmKUe6d3EFqQcnU72ryk6YHOzLjFze2h+Wnm/JMeLkX7RNYkS/p
iMdoh0yvq1H4o6XfKlgpdwjXCOMyBgF9Lg+Kg4Wto0IXZjb2wSUKOmQ2HBLh4sWc1ygSFHK7Nmu5
0Qkey+KuHQfGWHJo888Ym8w7laJ9hRmCfmKthqnkDIHMemP6ef+5AYF114vZIJ8snO01SXvtUzs7
xjsQBJcGaN/6AGAicuZNpppLMiuD4zUacApvMB+nMDbM9uDVGC3WWdy3Hy2IYntDHlYkVyHqQ+q9
qaPmVTiKY5QaTdKuYzNmwSZw3YBf2hX6xh/Nel5XtCmwH7pW/R0GBLRVfwGv4uCEUOzo5ps0zfxQ
49H81hN7Q+zPldvaiYXhys40b+sKpQYMaDP67C64Vxc/9CcjySH4mVOb3gxW9SJ1AyE2b5PI2gIa
d88kFzDevtJkY7iy6DqX7kio3uYFOquu/NmhB0U7Zvj3qHyLbhWS/sSaslBrcwxWEGyzvrlHnzvz
yodL+zi/8m7Tpuk/Jz1BvYxKFyJu5Ar9NsX0+ECtWWm0NaQTnQ1HRi/96MUfNNVsXulB59UWrjgI
ueRK4F3CoTfzlcsLahRGb9M63hp+hBdsCDBfjKN9+IojpVw1Nohf5YEvqxfsL2kkJM5BAuZAesgA
orWw0citRxQN2fbKDs4WjDBanmpFZIuzNVtscZukyNpPOgmy7XVuxr7PegKXTZyiBVLcRTk8OazN
z2QmoBboCMG2F6xx0CxKxFaZzdcIX2aynuPY/gY5GAzDsA2zav6MD+djwP68MmAVwOoRg7WSC7Bg
5Sxo5QCWFdIqPGQm0rIYXRGUpmlrdMp8s6505sVNTQTdSLMe35M8zslCckYEANU56moIzzpAncNC
W2ZfURzCgJ4XHLR2KihueNnAy3lVUB8U28W6Yw84kkJbP0JJ1K8hjbHFHQFtuk05ZS4AakYAeNub
K5faaK+M6iuvmjR6/SyzvMRPsQCt7QVt7S+Qa5Ewut4Q6mV8KMdgoIxSmJ89gsZmBTLFujftGgPh
As82YZ1eHBMr/Wbped5nC2bbvBK3Qy9DJQAgtvniXZncS/FsbTigTZ+lHOtvMAEWfne3sLx58TgY
JgviO/D69tm1BpsYJgDgxYICl1cquF0vhHA7AhZOVDXc8AGP2Z6szfHA0wNXvFgQ405HB+NQzUkA
RIx0O5ZaH8g9yC7Y5OaVU562KMDEAi/Prxxzo/WjN+YIHumCuiR38co87yob9jxHNus9kG1/shY8
uiYTCba8XI5gV356fmWp56YdMvpE+b6CmdBeptBT8wpHJ+7E+cpjjxc0O4sEYTFa+ze5NFP0RAvE
nWsGz32QybgeOloZxAovxHcY3K/tAoHnZXXWyQKGH2qbSeUCi5cLNj52e71lVSX48EqVJ4MzdMiu
WWjz5AFHL+kVQU+sKPzhBUw/9m56UbUbCJRaEnL90CrrKyqMeoNVJFonRoYjZKJuxAtb0ywczyqk
ndQsSHwQSPmdnc7lfeV7qViTIOlhQcxZWEiFOmpFEIHLIvke5CZgaNm7XyCazV/HK42/Zjq+EJnS
r/UC65/HPHrqCVt+I2XYJOg8ov7z2UNuB7I09V4Ae0G/4AuYLbxY5AGATQFXsYQECF6L7VjoTq5o
7GnJoaAsn/ALLwhmvvcDIxoJ6aW2h01PY/o8XRMJQBXmr20Ma3gkix6drJeTXoCQJv6Od5jDYsU8
rVliDnBPztHOXcIPImA1994SiJAv0QiBO9DJW+ISIhj2tLmWEIUhi8EeazbcaZ6GZ6GBs3FDQ8qv
z37KajsGTvQEiv3lh/bHH6gsFg3FT5wd9LL0ESwT+ylYPWdB7f2A0quRZPp50c77RtY2e7/vEPla
eQZDJjsDJh2EixXg7w2XP/jEXzr6TBiIHQxcpgamGfjeMnD48ROlza20scrtM2WlD7XGM+LEnrWZ
4VmeiPiCilGO8ebPP3QZE/z6NWEJQQkFZygYsv38oQyyqjn0l8F5HOUXzjXdPWyYitQDiDf1rPod
RaDHAEs3H9dP/rcNn/5/bcXZHhaLH27SMgP7fba1dBP/8399+mi7/1h9lNF7/qOX5Pd/9/t0ymTQ
BDLFMX0mojhDuK+/9+PcvyzZJTTEAss2+V86dX/rx/l/YZLlE6ICJp+p7Q+R08L6i8tGIhAt+FK6
PhPyv83ofn9y6WNyxaOP6g+e5H98d+gRCp5mrGo+T/IvsykfDj6mPk/uVdxnuwbdB3ATL9m4SQYM
qpyOP1yeP/i4f5hGY4BxmNI5vs8VCfgiPz/EqRhD1IUBL0jWRhims/TDsZ3mYbBYZ8dpYPwQooDn
nB4AimIZoSBBlt6/ziRcrfUgsG0NTGb+ybtl/UNXkt9LSFPipMG/wxTg598LLwgHb5wsewSsXzp0
ZhsL5cvKhycoOueE8YD2fW6rXZjkMA+nG1f15j9Ri3G7f3nBF9+QCxFUeJYt3F9+h0wStbiARPZ1
wlwPnkF4klZSPf/5LfiDO+7wVV2MSJCbcSn9/E19LjKxlanc2xU5UhkYGcen9OPstCIbSv+TC/sH
3wk4BN/G8V1BS/qX54sGj2UCzwr2Qel7u1EySURGI/7Jp/BS/nrl4LICe0VbyzMsfnmq4A5ayJ1D
BDAxY0CO+1ht8x6kd/LtX754KCmINaLogS13pbr+sNWQxcgVXR7fMDFNNCEpoYe4XzO7vLfT7J8I
Kf7gThETt3Tcbcc1XfOXbzX2ZOL5rePvaSSBVpa0K0A7YkOfvXxNrtvhz7+bWO7FzxuMhMRFT9Zh
RWCd+uVeJZZ0ZvojpLMZTraCQBBcNDPhx9yKPeizHMjqsvF2xOih6qzSamfRhv/qoYpeAWhtHtNM
qr1dFsPGzrzQwonb1GvPlvnGRfl234ka262My6A59mmZrBElS0bD9QzrmYYj/c9utjYczbyBXq/3
oKiLH/78O/7Re740UEUAawNr36/PI0gToV0QWfuojMUxdQ15nAbXXOPefzEwbtZpCGFNRb9Bmaq3
jsjEMzwX+U8u9R89rwgBBCMV32SC8MuVxnXllG6YB/scx9ARneptCeUQIwCz6z//wv/4SRxR2D8Y
Z0uXa/3LJ2FpaDV0Mbn36TGtxyVDXFXFF3ovYvvnn8ST+Y8PLDgl00KKAcTL/+vf//B2NIwRcXEQ
7+cEg9iiX04OihX/Xpje+OgZPAii6Z4jWHLbtO+mbEM0N9E+XllrAiRGfQgQCOwn3wea1Pau99Qn
g/vOwFIetMf4Yw2mAxsS2TmXrhuqcxYXJCKqeKJXZvXpuMtl4K6bHpO9Wfj9kbgneaDr7+0CVU7k
YbTg1FQjtrarAov/0KTMdJETh3vdkbwQFShE+zh17+Bdjem6jVsPn8AoNnS9kjts4+n71KDFcIZA
k5MRzIcpcJELDo1/zJoOMwz9yzst+OJz6xAhAwRn5QYYFaQpwhsLlm2QdfY2D+viGCO6XreFBXtp
7OtnVO81StuyfpeRSXQrIlaO8VNDF79Ct0kfhRZFUOaHxOzSJ8OsmztpYlIEXlRrEqdGCJKjthsA
JEN4o4Y4fI0DLM0Do5Bvnm5Hwq9N+zOD408AhALM+wZ977RTd3ag7Fu/iDcwNg42le6hHPD3swJE
4tGyJKYNO/aIeHHs9m4eKOmhtXr7tlHZnq9DC2IAZBHC+9gQZtLnp6FKliE4TIBL0AcLASvri56h
W4hMtad9tM8bPXxwZOKaaLu8oMtjyI626rbpwpBLZov+2FRO+wmPybAgZdMG+gYkmVWozOCVYxve
ELcMuhdJ4Xrse3NYa1SBawUZgcxmD4VHY4YYqCJZY4Sb2foXJHQB8oTOJ0hGyswDsCO1K6HD3Il2
4PIxK3PfKdfJM+TesggNZGk61Bef41pMZwRnzmc7bjBYok2N74aoMUmRIoaOGrg3ASezeGCFUM6E
2SMrdPCqW5diy7YZcQ6Ibr81bsp38EOXJz4Y0vYJCRpxrTRna9gAKjwVFI8YHvzf5shGAGeiRYw2
uDLDdI+bJZ1XadZPF5EVGP+9zquQhhIXEHoR1qFwpN+NDYii1hbEc9nuECziBGMTOKo5qgCXkx1l
/QEvKWP92SB0KHWiYF9VBnZaE3DFhnCaW4Y5hKfamNlWY2nx+8Za2cjnZecRviC8mB6xkcD+1Yp8
Z6s5gctTVIhl8WSXmsFhMu3Q3MTPKDnHbZLU9I/53Q7aqKJd0HQBGQlmwf0di00EWg2wIEwYzA95
zwigigh+gM5+tqfmo7LcZpv0GGVV3DRfgjDwLA6odnM0LKVWZE5jIhMDGGxrdokWk56zafKMq2/K
7Eb2JTLdcYqPcakk35WQb7tNineTptEtTRh9kLbCrGQjK0Slq4klSU3QENzipxAjN7wyI9/qaYj3
6OMJIyEA69vgFt2DCBh3gDkq9qrtKZdFZO2kSX5vIYIdzdvpZpwt5xwK5Pujz9RY0byA33GK3ESe
20o2JMrNmkKhjeQ6TMOXaBqcc6Os6M7IJnHGmRSQFeTZL2J2O8S5jE+wKNCFXCYjhBW41SFGmbod
3YRXQRrRKcmsYYMOZ9gU8PDOUT28gZtrT7Iy4WS79L113/cHhS71pmMGSzq7o+cNMwKHLGhF2xVX
bLoG81ZtxoKDt+0CX7cbtPapPz+Jxm9vCAVMvo4oqGg5CLgiIUZJ8r1GpqmVPqbCCN9qNEgrILDB
i9c483ZUk7EpJ3++iYAV9ZTW+6oF2U14NaIZ7z7Mi0dMwPkRWKZ31BjQGC+km2gehn3eS2NX2Z7+
ADlKNzSrswI5d29YbxD57Bsnb280vIuNZLiwHrU5rYUzWRc6sJB/aBLmO5X7Gb6gSu8qB7lAa3UU
FJaHX06p4TFs6zLZKeZRq7ybSc0uMZbRXi207z5zSJr3fcOs0614lT0L9hodva3G0HoDkO2hTrAD
pWQ9+USerRffEi3P8p1IGbCQfHNbZSxA2G8wwgPi9LEqJbOzHQUpPXav7dtG9+FjaYbFFsn/dE6l
c+NUtLGC/8PemSxHjmRZ9lfqB1CCSRXAsg2wmYNxJn0DoTudmCdVzF/fx7xSWiIjS7Kk9r2IkAhx
Os0MBqg+fe/ec31j3cyOBPM6Dd0PonP90FtIe8eqeCElzN/lU02fXc6TfIdahnCgTBbGZ3Hh0BBO
Yhj+pM1QVi11+0JdNj/YdeYcgMPFe+avZWix2NxlFYBbqzOCp5TP+6GCaVRRMZeKqyErObOcd2i/
sDU3XuR1TWwyV8ajuZUNVwQQ1epdcFxhqklYvN7GVOmfMMxjM+y8QCGUypfZ38kaoWGv1+/FzpgX
IQ3YTN7wCVQD6O1Cd5BhucaxqiBQiqCL9MIovXEjZPDWHQ8hQqVcxyE45+LDNhEf2UmcbKwBM4W1
TEjPEK7vsgyJnIXeeFNM6qzWmMji0n0d7cyMksB4cUrm5w6b/EWCddtpMJwFww4Li1MsJ+7cQpfh
6rndE1EOT16mu0PT5sBseiApvS7y07xorFbdMByHOMe5oIa620u0Nvuxs+EwNKXcs6QY21jh42TI
Vt4sfWVfyA3Oohrv4UfjoxPpXEw15DOfaa4BZ9FB882GlG2xAQENkOb4kqDPqUN8YNNvVa7C3TRk
NEc51s7NSi4cNaNYdgwSm4NfNtVxyvR3Y9vNaZ5i6wk4QrdT5nJBPFKclhV3QhM4YJQtyxhfx6JI
vsVaqG3Kd3OPx9M8eqKLd0YdqMdVlMlOV9Dwgm64s2oj2ZVZUJ+kn8NXKfKhOBBGQ/8pb5ZwiDuA
8ZX50K0MdKH+2rvVJ411jQWKjsRN6hN5MiYDHhsog4M7+Zoss2tI7zy7S4b8r8fLOYVzgYFlEHHz
y57t8gwas+hhSHBFApmXJCcF1tFlULxpU3ku3OF9UXNzOzfz3Yyy/EtU7XDTteS8JVZJDoAPf9pp
9DaItf50mPLtK7Mbj8Ri7ovGeAXmB956QP+x7WqirJoYX2Taou1MBlm9zHru71DFNXuTTfAwt8mp
Xir14rapv6khzEIUHtVXV08rOzdFwcbOCCQizA1ukM3afAU+3dFlTx7oRteoXlriFuD6X7WXZD3Q
yBgvc6re2oUoh8YYblJ7RH63TNsmZd3Gvkrm5zATBT6DoR9JrRyDfiRWh7wpmrW3Ng5oXjPLHijs
IUAleRwRFQ4ssnZ8ewPE7FVfB5KtV29HxAe1zA7DZPXHckA146XaPjj4H7a+xSTJdzAP9plY96VB
lGzg7XQjvN0iUeBv2tbwT0GDCdZ2Mu9A9jtQgirqhsKKOEJFiCTaPaV8sfUTdJsyzeN9OgbAPnn9
jarEL/Cp8buHE2DT4t41J5zya74e+rZ7WXpcvnpcTr0xvPq5PV7InyOYQH0EPbpZJzV++aQV2E5x
i+HwKRnZoTIC0sh5/50Uv5lgjPsuw5UBB/QZjh5Cqq49tcK7yYR1a9grXFBv0DelMm4UdxCTmQDw
w+T4v5rZy3eJXYXsUuDD23HvyK56W50vWnHlzscQHloIkSA2tuVmwFfCF6izZzybmlWsflGr/yq7
nH+6z6KNf8yNuEnpcJNu2J8RpxClUqp8V1fpS2oHGGGqZ/geHzhn8Mu7ZSh0fedIzHAQdAGjtOO0
RdaD/jYnAsaGFBK5gv5F2tlQBKduN8nyMeepOpZ5+pO2w1FOS2T4ndgQoLvpuxF7WZ7GBzrk430d
JOJ+aT39u0c3RdMM0llsVKcgE3I3xtO6J9/uZ+F4HMw57j/3V+zu9ZDPI2sI+StdrXZXaTdM4krs
FITM01KUJrkoZFxQSslu6zo4c9PSHyI91zlxsChggrq+RRY3h8TyUqu0ccDhfnL3Bqkkez0R2DsI
gxqGD5xDJWApgPqCcpH5B7nAG86tzC0N7wlj+r3rTFkobfVjrNadJtxhg5Qd8lthDxsRs+bDMw87
J3hEFnHr5PFbv9R3lWTgU89874nRmpvcK9UxTdeWTb9+MXtkAQottz3n7XtujRAuPcaCWfPTM9w3
WRKwBd9DhUur+dJU8dqiurss5Vi9zjRDifAV5UFNiXUAddxsgUcuDGY1McPj0O9T4lFYUpr85NW4
7BavMzD8TdS2nvpRW8O4x8fEJzVzECj5eC8scNVp5TTb1SmHb29JnfusmanupAPTyzSbnRHMfbQU
5m3NmWWXc/5BpB5THBFvKWx1UT0HDNH63XvaGgL/cjzsabE8dbj8d3HbhWJM4JRV/b3ujGE7s3Zs
XciDtw2eGYr+mXNzZqnubrWJ+FHZXOxMyeHYr9UbShc0Wajjd3amoOVjLA69Sc7PtoFW3Ktbakk1
mYgHvebXzIc6ecorIznzldrW0B5scDd79lvzru1S85gAlzjBPkBklG+x69i35tLBA9BDfluQLPmq
rUa++rP4Hc+WHdmY94C/OeZbOZb9oYbx89S2o/o5cW9feuXL2yVjXJo7jrFv+3Tcz9Wc4hIP9J1A
HLZ1aeNEBNpCdOigsm8mqnlijCztvZgNtush6UElo7MmvJseX1jiVcAml7bDEeGPCSuu/Fg6SsWE
jtevOEnrbdYRSJIqSqGeI/I+yImRnJecWik3h4PsaoGLV0ryd/rlY4DAwIFJbkse3x1G/QFoeO5s
p1ygCScxB6cnyYKrW7Qnz0vHqNbyIaURFY5Q2W7XJQgO9iis3UwvBafYNOwbW2e3+BnVMTfLbR1M
8y7gQecsValzk2cj+j9FXYnU7jaYoFeimkrx01pQ3FZGdu06khg823JPlKQ48zrLdmAmiZuKXApI
a/4JmQeElaHpIiejmucA9jQRuPajAIEfyrn/mgNnekdq9aP2yD7roEK/ASL/4jiuHgOIsilAO2Ng
cjroHWq78Yym5MW2xRsvq0+1Co6phI6jU8phjQYnVDEtN3vWGcLOTqV3MB3oDdVKO9tqMOkFVYZF
1zGTIegIbp+maXeC1LsEQ77tvg2JsiJuwRaMOts0ogQMrPUwkjHUcLYiYrN+oFdRv7TGFABmT9tP
cCjOYzZm5gX9i7NNF46GG7lm6lLYwU9cjMEj/TgZtobTbwgUusod1jzsA4+c3XbwUHTW6o+SbyuD
uTiOM27mtovltoOMsIfRQIylhv7heFZ2ImIR8in0Q0z0VoMnpl5/TNo1D8maLO9pgwOjzHNFh0P+
9OYmpzgIUHU5COY0w8X70iF7uhiX7Aa4JFxwWMBHbr+HACWVtQHZ1x2Q1KU3yVjn27VpsrM9juik
jIKO6rmchxLa1eCMD0tuul9jPnX2ycDkvB8nUnFCR67eO1NKxITu5AEdUCS8fjfcZF7otEsOeifp
l+e1wvyP5A9RJTyDuXfx7qvyfZJigKc3cdJb+/UZSaq7b8eS3XEp3IipyROwL9bMQBW/gMpCL/Ct
OfLJqN+aNTjdQrfiJS7qc9GPd35lqVPpuWLToJTgNkSudVurKtjmiM34FN5K7nFad+mmR037ygup
F3DDzXtxXTthS98hOyp2ed16mIwCa1daU8oy5/f1Rwuy9tSLyt6uLrCgyG26mPSjeHyZumV9KuKR
rIDCcW9h/RIpZrgmEmjChhYjp8uuy7Y8WG2AVav3siECEY5yrV9AkBE1zf5LFifsEDKoRoiUk7HN
vKbDfJICoi+B0KL1S+ilLx36RVIaSDz1hsG4hjLrcmfEU/tJZreNP3XyimeP9eduqHzMefU1xjzm
MLkfuNT+Dfs3NNnMVo+x0KxexSPO2GpPDMMcCvqXmzYw0WQIKMaJJYAN8350PALdH407Gu4gV2N4
imN8BbFY7s4QE3lM2Lb23pjgn89blG2AlA1DR8ZcENwyBl1xKxJs1kWnX70uy1OAZI7BAaGVn5Kj
1CEYfTuEL9ZvpwCQrwd195EjZczzX8FPSw2QjV3Lu+rTd9ycVDcCAJxhXdmT6/S1ats91jMRj806
vUKZBkDRT3s6tahc/di8aBsfLg4HE56ZUYRl5rmHGlJtiIm/Q+yUPUKZGLbNOJ5i15zJoPQRjkq6
wuiI4uHW07n9c268DO1oXsGcdMzFg/xjjoJWaNufXU8Ne8+7iggTZfpfiEyC/bDY7Rvtj/aBcJn+
MZn8/p2RfH7PledcTOtuZ43Ku6eWAwzfJf6u4umLzNH+DQBeHYLVmu/Fmqxo6YMy/kkPlgqffjmp
Uw6wCWTgOsNoh2jT2w1FbRTbKekwsRfIB/tvNIIWlDzwy2YkJ4T1+0qgBsKJ3AYv7KWD2KSIo33Y
xAPH4KLBCXDsg4VMWQWUfZ/4Pfr2xqtue1HkLzA/4q2V+h2ptnIiRuQ6cYlJmwAyHs5llm7LtOG3
D5N+FFPr7qsWfxVtEY9frQPaF5qOnvA81LkBtSxxP3Nnl/dtwTKd2qi7mFmGtaoj0brjfVyWUQ9q
ezM5ZLrXBKkB2f4eVvVS93PwUs8ThFYMybm3SWpdRZ61vlf1/LaiZYfNh+omHcH+acj4ftsnYbNA
X00aekIMdAh/yYxXPUGPCjJ6l7TdixBxGXxWpJQV0sZd33Dq6hJBDCvQrJ0eXYPGS6qcIxUsmt9M
EcOwM3t2RVAsPpBC0UyYBpWPHN3VE8RxqGzDSqC0adwBBF4aYhWQZ27oaKRPjueIM0Vfc7RJBN32
Wdo+yXEBOOz10tKbttJMqWl4wHheB7u/aAeaLAuYI5/NpO3AQSUcIpH3tOg2YledDMcmE5YQYVBP
PmSzLqGtaU6efOdzrbt+qcDqdIPAmQ6LxrmeWMpLbCZg66y1c75ghFD0Gi250G1QW3ZIZ7F98RGb
EQQ7XlvIBYKsb1cWMIwn3zf2OTMEtjf6JW9iLrx3+G3eDROpqxPA8h4ZfHpHaTvOiymShHwNYaQA
Fgx3wupf6uBjXPyGQsaoavJ91t7k3jZxcpAblVPlVzxb+djUXYTQ+xrX5zovA4/wa2zm7Xfh1cSM
94Gu7gnutRkxdDmekQ5091dnCPMYE/Z7MJmMPGUV8s+IQCnNvtPIHwvan3vR5uXP0luRz+ZJcj/M
jfs+GA5ODz0k1WcukPy2lcv/11NwNZYYHJjCucKzELSNeAoacl2wHLnWpya36TCpngQhuADyUpig
ViBp6ORirO4VSWjs7DTOXk38q99NbTevDJHityqpmg+DZ39raK58zuUEk0gleVjqbH2LlyZ9rxOb
RxMbe/9hK0N+0gV2f5CtB0Yenc4udrAHuZoSfnWIdK+5RU6t4ZI+VxHhUnnL/E0OBiwK+jYhiSXg
jxCzV+ECA+7VEFV6dGZzuVXTFHzkll2Epqcb1LF+dpK0mYkoBt0ClEPFnytNFh6Apuw+/LqPTyu1
NkX1Wqp9QQG46XWlU9wf4pnNq/49kjZ/kUS/7xk2GHC3iGPcUubloVUYPwg3wZbEHN6kd2NiwLKS
cg/vBGMMTRtyyZhKbJ2mrS6MyzBWzAn9LpGVFCW1XbVPi55g5sN0gxy9oM6ExYSg1+6n8uhOi3+c
MUqTD9S0X7gjGQw2Vu+QwoyDZoUDlpXPQBdNtOZF1dyyYPjg7TO+ORvXe7PnmDyjxbM7TtF4yvJr
qFB59U6gpfoFy256oGE9XUwz7p7E6DW/RTfgJjDr4rQOsfwOXOHfxn3b3iSuZ8CbRnj5jR2j+V3Y
xYRxCJsR/KHYf8+V0h7iYE/JyCfFABb85LrQfmtHHrhVgyhlQPqsBXxSxHQC3xOpquajoXr3NfGq
6qtO1CsQ/TqsNRUJ2sg133hlYoF/EV1xWYdp+axg3eNgoXc6UE8RR+bRel9JXKatJ7ATwRifZi7y
AB6vQIXbruYpT0GWkqZsmcwb5ji7W+ZeNJFg6soakdT+zoEOcE5z9q+ooF+xm1aM0Rt0+1iCbPgv
e1sXDKJbHzve2LkzYytYonfm4NGw83r4y0J6yR/SeRElSr/jVSfaqPJIbxwr1TymfFH+zvW1+6IZ
EC6YFTrvi9IITV5wdTnkfwwP5R/zQ/vHCMHEeFl23M253scWe+am/+Oe8IJa/hj+eCpaSv5zEjvT
C3YtdrYA80WyGnTtjdoKSDdZfiqF1I/J8YQ7HmH+K2XGI5+AYYKFnBVSp3ntY8/McbyPpFzLL5VM
MS3LXoSpXJCKWNaN6GlhshdcjSPOHxOJRwfb3oAwY+Dh8AfPVj+OAz5c16q3beKgqh0sr4EZl2a0
zrSV/4q1CzUXdwY5RUmPp8czzQxzRtz9UpBD2HUxYG5GRjfLGZ5nGZpTL9/XjqkDQwwOb5WKq+Kg
ysL5ysvePC8A5jngXhPxlrGq9/BPZFjm/bKT8PUZ5vn1cUoGBmUew7QLUaEz2THuwG6iY/1rzVuL
Es821Bv+kArQPtVEk7bfzmgFZ2G4wSlHbXWZVoegcz62Pi1IWG+XZTAiZrWc8Zdih+XU2BhM+/ac
bRoSdRxNIK4/OqQ2kZB0SX1xD4kfuGPSJcCJKtDCtjbmA/C0dNwxt093tXY/4VYuj4bM3V+GpLVj
AdRbbCJmBuHkL7gLSvOwTk1A8xeoOwbx+sZIGuuubBvjkYiE/0mIcZU//LPkJTDRjDps3JhoXfcq
n/iLYiEtTK9t086/nukZnnJivniE/dwTTJGxb1OqAlMy8hdzHNlK/71gwv3v5BJIUJiCXtEslv83
fc+VwutnwezvF5n09wEhzodRaaYIJmN7Z5rNMOZMxmAcC8TXtLKlqGGodu1YwG7jmy1aLULfr2h2
tgD7ypoBUz1LZzdRxjNvtq1LnUwObZkKEgYNVLEelHSbE/F6622vszttj4wqBL1BB6VWGQ5TsbKu
UAGz15eYc4fC3ldzYZBhZeGbJxNkMyjc9eYkngnAuIrsF+vSZfJXDjkhBIIHRg63xoakWw9rTnqV
Ss04hv79pbOvWte/fW/ofK92ZMemO/j3aM2KW4nL51Kto6Hk3GBeXBg3TTjkC7ZUJEvTgjYDyAC7
0jIs50wPyy4g8qflZuoQMEWAHwLwCRjB/M1QyW0eOOPRbDRRU7Nxnkk5Az+HTy9z8vxQ58B5/v1H
uApJ/+UjCAZars+/0edclXN/ufUy9pJ2DFSwN1Wbc8QhApR073VOz6vRPxI9LaORzTlESp+eyDod
fjPxGo4KM+8BvXMkrBo0hJ7I06rRbfz7d/evsr0AcSaYctuG5ib+LhJM6OFJS4KWKCwaVYwik+DG
jGv1P7zMNYT9Xy4CcVCoqAEw4Z75mxixZWDs6rgN9ow/l4Lt20PIPqkhmudS/rQ5wLNGFm1YW3Ed
xcMoHzOK0DmiMV6c0ewE9+Xio50feFhagQ8K9oOJKy5eja2bmc/4O/Xrv7801t+vDeu1aQlh/gG8
0/v5m0wTwgnpk5p7D2Ivi8JqE1vkmTQH87hoN/T93deguG/MrPmAO0cST2WTWjWW6WnBsBMhZli+
BHy1/wI9/X+R9vPSIrX+/KoywMuacM5f/V/F1pa4yu//n3r/XzTa/6f+StXnf1zU59dvnf7r3/wH
NcH9Tw/YjycChND/pNL2JH+CSE9apO24/BD36D9U2lbwn5bkIYHE/48gAN0MV7iQRQAx82ieoUBI
bu//FTLBuu4D/7TY8RJAW60A4b9Axfe3TUqSeDEib+t3ijmjfkoR8T2vHhD9iCm8vHe91KdrYzWw
CM252bnow7Zln4joL5ft8l8v+B/1UF2arO41hCSMSn97J7wN7Afc82gWWXb/vNO/rFmmGGVmLIG9
bSytXwt/GaJYBvFxTCr7eSiy4GaWnGokhhCwO2HbDMyoAwOW9CyAzDbZjrIMITUtmh8kNrLqpWQj
IjbIoFgmMdy2fomPq63tiDb4cJfmeDQ3eSdoUhL8+JBqxVbU2TVM50oBLDAg2M5JCcpcodpyhIcj
KuE8j/+JbrXtevhlJJk/ub/gggJNT4qiTWZMzs9f5TCzdVSxnD8bgxgAFDp32LGNgy9zQRNF986n
KczyVjglTre+K2kMzGZ3nmUP4WCZf8JKXb/odotn2hPoqBYH6ncx6QtHD3yFyAQyWktT87P3fH0c
5KjucShbJ7Nh0iFTqP2SoJpLgiwjcmsMcnihTmVDRCPhVptqkMnL4gYA5HKSckIX3cq7NTBca6Rp
v6RTYEDKKJxjXrPJrwSv3XRpYuz4EXNPpKGMmilVB3rOwQ3QoulIXoMVqaUEd5AsUed2w3npDXiO
JNVv26lrt97QcZ4cOGjuFm9CqdC7C0R72T+LDmFUkDVO5CVd+lTWk3j3Vj/eEs529e2ZZMloZ+Wj
dRe6zJhVpTHdJuA1nodpNt5wpYxMsq7SJZceq2psMtaQWADIV+NXV+X+VlZF/UBukZOhyTCG2wla
9ilLHDeyyK3Q83QLd+AAR/rsd9BBk5kYw9H07j18mkAXGZWF4DH2doVw0hBKbL0Cz3ThUGdqLTkt
pkt5kClqpJjsQ80RUUt9KYcMrk8ad7RmdR1NlUIEOeKebHsGZG1R9O9ZnvR7fFgkJyTJHyec8dNb
Owi/Y73cVRzHSLzjfsq4rXYU3sW2Zah0/S/5laDj2uMAT2CVGna9waa23CYuRkwab9aDOTvWBfzI
fG+2RBp27ThH00o8UBXAISkJGE2rYd23UEweEH5I1B/u+uD2cb7tVmILKoeR4MgQ41IsWX1Pakmy
JVNIbAnjk8e0syGpp10SKeCY4ej17aGZ2va1BCPNt+mR9QlnnZFS9e1gK9paU1A9x+41ZXfhjMjv
oKZKO3kY52C9mYFUHxvR+/uaFgd5bhjnOWyTklsZQbBV6FbDeYYMrhI4B6o3/G2BD3zee5T9mtg+
JXaAIkePJULyrHHWvDLsqU3raqkO+VA6jE28eDM4s7zPNGjwcZ5Cs9Z3c7uS8DY2AiSJu+xzWLaR
O0rrNvFTWEwl8EffvTcH5vYpNubErIczItbs19Ko9Jup2xBe461DK1jjm8UClLZ6TveesOofHBLi
Tmoc29t6cvvjWo9iZ3ievCd4HSkT4pTHhD7Wp91eOyw5XIQeId0v5ZbdIyuzfyy9Rv2wO0I+mCvH
YZDIKg3bbBjqK+9aFkffFQj2heo2Mf3/hVktA+IIDU5FGG8LjylOi2kndOC3dzWBLDVVQpLfDoSL
Ryk09B1ACbDfpMLWTAWSNCRB3esjuzMdasZhZF5lORMFYxa/IuAlsLUCi0xmFinPCGdKvmdQmL34
qCx/eDDsBskWuavqVXd4tgsrTsgGVdWJzY+ocCdddqxpy14vQ32alir9aK16BKOQkDxFyWwg5kGN
tVvbqU7olASzc5O2hTh59EHcLZ3q30sBbOTY1nW3ncAnnvxSi3c3C0B+5/TfNvQy8WhQ2O9r15vp
t/pB+51BHGm38ar6bwARekNURP9eWcFwaGVzX6fGWzdP+lAbJhMClHhUvhl6wPaaSEjiSMAY31zd
DxR/9DAgbjbvbqXKY5Av14bu5B3jKfOv+OD6mNIPLiO0ajOqji4uL+TVc7glosOdjzJfxuCmrWKr
+C1xpg+PVl65T0nbOPOub432U/MofMaxXb82ZWrcAgypUxzlbNBbS/FqVbBOLy2aNoNNKqbtM47v
RRUYZzycc4ySelGhlBPpmqKnQ2lmzgSK5nr/J61yHuvZr3xmyrUO0VrKb2uxxeMVV+AfJy8v84de
6+bYcxR/GlRHSWDhPI8cq7PF3VgF3XdSEXW/TTNPvkGuc34tuEOPNLfEfgHAdCY02f+NHBhHSQwz
9QAEVdzEuTunGwI00cClQt7WM1e1KDAzovFlpqWNTj4SSdN9VK7sHl1W66el6joifgxIeDqxxa4t
UrLKOPPMtw7YzoMrsmTLHIZOE9HbsGJh5OI9KAEHW7GXn8bi0WCMdEYVQsgxidTkAxEtEOaB2Zlv
TaCyj0nkg71RbbYiy6Sj4myzBkutNBHI3xM9l1/78DUdNI2VeAtxDvXiSnjNg1UjGzEsI3lIJzG9
l6q1Xhxjcp6a3kIRY2mxsx2o13FpJC+1DMhzsTQVvBz5FdRaUx45tRqjcs6mfdfY/dnykLpRpRkP
YrEbks8HHSIFa36TJ23vfFI90Z8mjBbVDPABdQAcagilxXy3FJXdb9d1sUlRSMdK4DXArZ1b0xBN
SXKMdTP/xLw8RWAn0jf0SfrWc5IqNNIUeBXjo3DkAofEdR7sKu9CFCL+Ma3m9X7oSxkp4vvQN5qV
QS3m7+c5ZyBfV0WlmbXGTT+f27g2yDMiecw+eHpep5Nu8vREOdNEdGCwkFI2yGcXCBak5Zb9nZ6I
Z10gmKyY1yW3ApAnWA/KUY/8rZ3IF1TZw4z8nAlVhIrGO+NeXrZpsyQVqga6g20sV8KlxHIkH6bf
xQVQFTgawa7urrYJOrvg+dfkflwXsetd7lE3Vf6NNJheZAkBnOi+Wvc3KpJZ1e/SHD5jQbq9U5xs
712Nk0OPbYxBXM6G/kl92ex6SxDiUmNyezMwT1xKlRE8WsQllFbOu3eNwWa5X0woLgA3gr1vXLXG
RVDuc4SLB6YKci+AEEZWLcfurgGnGhJBAUt4qDAoxqa1XPQMIPDUNKu4JdwF7ZpIoQ+NTpmfSQUu
nkeInxu7NM29AOBxzLXIL/B+Hb3N22b5PcIs90Jio/M3vw/iqDbggUVBrj0nzE0HpMNkOQ0GhupK
BJvJLMnjjSAhegNL3UuPvp6zMM/aSYcAFlDqz5N7XBvV7iTu/5vaG8y7fPI6m/q2eJ2b1LFPI2l7
BMNaXnwI4rgrDzmc7Bsfnvl1joQP0GT4IWl1HUbagj8HnTgXd7oG3im9mE+sNqngxgVCGKUwzyIF
NJ/82PFU0BhQBY1lryi3FD1oAuMaEpUQgGCG0vhcJyDR+1H2xsnP808A18F9R6MPTuRql7+H2kvu
C1ZFdv+ebqqaXU4PwxIvEZPQ+tYrUbdrYzRfaXEFFza4Dkjj5J6DwOh3gD6GnTuTW5HPTfwtSllu
C8vx7hHF2xTQHrkKzeRZrKKt8WrIlTWE4FwmlgG08H3BvG7rlaJ7XCdJB3/ubedOxWYQZsE6f4q8
jB9ob7s0NQ3cfr2gLCN9G4GfhgjRViG2iy7ygJ2wcybwXgT+NWFNd7GiKMgm5+zwDW3zpfC2I1b4
l9YGvC/ZaABJIp+tstiDSF+mr9ag7jqbPFYCfvW+RPDD1IbDzY0SSXGWBXSdjbTL4dBwxoiCBO+a
iUzwwb3SG92yPpdN+SLt6rcR+/f9iJyuAKDArBaKZ5bW09HISPRRhG42sII20urX+xLmza9xUcN9
Q/W1gY6f3KRrkR6knyDqsn4WE7Eefe/uSBcKzYQEeGhtKWepdYpQt1Q7iw0pwY6xMCFE536Q2YAX
xWYAkwLjEKeUbCaEKudizeRt4iXWufYzhZLYmYpwbQVOC2s0KBmrL5AuiYUkdHpueZh2pAEjdvfp
lpsdCQdoY4sHpsbyGKvEPfv94D645E+cRrMdt72VB5Fn+Nk+5mk/Dwvk9o3TKIsStCbIbChp0Czc
GgSellEj5kNcSol3Pzv5Rb83Cbu0fLKjwFBVZNJNNYBAqo7sRE5lHio7h/5gCzNaJHsTs/VmOF5D
wXa5kTsonYW68gGVG0GOObhZd+hMaojVHX20enT1E3TMx3itWP/Gka86ppcdktZmbOk2wuZPuuDd
ZHq+1/FivSmfkj3okvLUImeMLMNKbktDuFsxBSP517n9A6uf8wYKqoXGJBEFxdn4WtRxc3Tq1ni0
xkE8FmtXsFYKwuxcDHI3CuwJkVjdShptO/2yLIsjtNWS4ef2zReeJtSkbn8zdzkS1phUDDP+ac7s
fc4SrkYB4j4ziFAajLO9oCppiW4/GGSWwtcegttJTsGTH+d9hCopZ25HATt6tbPVDl1j4UEcTmtk
tVkTSTNGv+ByijSrR0JSCuqEWn0CeHQjMnPikLmocdSOfZiLFQopseFbfDr9XR/0+uQFxaNokLYR
oXPlMN419luHl2koTMSU/s7u5UeRTvf1ZFqHIp2ffIKeE6N6RMSNzs26bkvAnmKrGUNKwzeVBO9o
GiJ7zD4VjY2whN8YoTdLH/N5qA5BL1nYrw41t5hs7mPVHAOf3Ax8xqdkdtezVKmx9YQPoq+AaLwU
aLbytDzEZp0dp75M9s4IKsupM/A45G/YJQc8RDkoFwRl+BGPrDysaVX8cuy8uSkGD1gi2C9ivAfW
SERxh7QBkIKNzNwnAbFdTeHF57kk0skIEn0ILE76m7rL0T4zdt74sxet2h+PDJDKfeYdrSE9WxWO
XYfpbEtO/Evbev0NYxHnhfx6pONq7ANYatB79giHKsxT8YI5yM8HsWPO2r6ioCsjSCvTbpVMFqo1
aM9pg0eKAd6lEOhtF8HPj3Kb2vn/pe7MeuNG0qz9h4YFksEgg8BcZTL3lJRaLeuGsCWL+74EyV//
PekaoFxVja6vgbkZ9FVBtrMzlYx4l3Oec+yL5kc5yfYGmSEqpkiZ5YYD/mjWKmiAAm4ZMdWHVJGi
3ogpC+yshd3FvjVwPRteHu8P19qQ9bCjput+XzWHMVXqMg0EZoSY8oLSw30CvWgzNhOYYmD7gwBe
nVnVq3AN82EM044OZ/Ln+8LE7I+ow223vVT2TiclWmNt8tETnoLvV/uovowogkYoz7CTCLqpXfKI
5lCdibS4idgc4uX6AaYgRoTvwQJ4RDUXJLG4zAm2pT75zvrtxxy1rliZdUUhbjf43KWLRK+z2mrL
tWlgwAIcwLybaBGj0LdDRkrHysMpys21zyy5t1jfsCYNNNY14EfFXqmKB8ojoKoPf5CTcWuU0t91
3rKXhnWSCuUUtda2Gcevg62jdj0JkR0aroNHXPfzrQjjr4OwFyIPjBdgqfKuSKf+myFFvefnpFFT
tng0EAfR0I1RohiPyDxvKtEEdcpEHXWle25sqKCptF85wJFqm43Ez1gQPsfaNFCz9QLZ3A9SV5ED
TwgcNfS6RSM8V/0PPJH2auRqXvkeStyMDLfVXLjIQOyDGyeHIpvWsS6eGjehvJR6nTQjKDYucKLc
asIoxC4v51eo3Q5PD0KpRF+V6rmT94802R0A/+QmDYmU863+otucUk8k8SXuALNVqCm9CfSNlZvU
i3jYt56FhhwD4HbCPABAD78J0UnO7YTlK1A5xqusxVCBo2ljd+bGba9GLghMRyc7G755qjWpIXFV
Pg4piu+xPIZ+5+/ZLd26iz+1QTeQdzFUVvEUYW589cv+mC5dhrUM10ZRT0iF82nHatEuNznrqkPS
d8PWyFzCdqzY3medNV6aZYzeImLK1jyh32j5n4BirTUyB1bNzYfHnAsQI+2fRel7iJkMbRDRnQkP
paF2r+qmyVN7x8bJV+rhDkQsyTNDVb8IePLAyGc0TomhxMaq63RV9li+mnquz7bHxIy2ASgkeoPH
JUaGH5rLdFNBb2SWabvNAQr3gPRnwtDE/sIgiXPl63TiF4XyrAamvvFsbwY8WIvkeZSTc8v3bGPj
WJ3dsDunoYPYLzWZeh2W1FZooqfutesc48B2NgGYac5I1IDD1UvY7TFZP/ph+ljYVbzzqrTetX6d
vRjkmweNbC8DUVyrNGG7nkHOCIwQqXvEPU+dPBoMXxHO2BDB8FSNEF9HkOIerkDTaMrDUrNUarT+
Kitw+jOn+MFNIucmN+ErRKAxGRHnGXAvxjdUy3oS6uxFNZHtzIVqL5Apfy4UDKFieLkUKfLDY9S1
6rBuXko3ne7TLmrgol7n4UBeNJNUFF62HX3JFtiEnarKI3qRqd50SRomEOc6lHHhPKU7ncXZW5vq
ftdnQm4rKk0KqgwCucONnCxmSxihx0Kfc2HOrRtfouEkrHM+lTI1XkLy7oj6ofXYdIZlgWqSFsRD
lWWoF6siPU8dJZkHlWk/ass8TV5U8u0siwW77+x6WO7c5BRGOOD4K2Jj2kl/ppe3XzBtyYPVu81n
F9eUjqHTnXVLw1QawsRgKLGuupXYNUjldw3GbbW2XAIEI8ilRTDWhTybYx+0FH+C8AUCiZhSnP1W
2hCw7OiYz7b9xMFf3g1ALFEWNYiKzLZpSLIsRLOdTHytpArXRBnHTc3V5y3r2WnQ9SHmYRJWzXb8
TbmcF0g2dPbMzv1m8CVArVmXl7SpSByZnB+hb4rvpgDBG4BNCD/CPCmeKEO+pj4pgU3W3oPne7L9
bAzG68BrWPS+X+Z6m1E7n6bJ5OsKVnQN6H/cE1FefqslFilVO+kac4q5GSvwlRHjwSCas+ViDoAj
2SMgzJzJKdmSfNnzaDkM6Fycy0XlbWEk17cqE1hymwmNatw/jzM6VtNuvyQWtMY2QfmBZMe9XQAn
P8xG17w50TVB1gw9vRNycJr14CDHqCWNTRQ+xbEPONm/ljsDPiM1nKYkTTnwpvQ4295nQvm/EmnR
BxkjKE6CSdYgCJX/ZOXEea67BWLX0Fvl2V3Cy+BhPI1c/z72FJm4Y461prff8cTxZZSJuIEOGEIl
XMSpS2fj2+hG0Sas/De/txRsSRAfVEnOeh5zijBfgIMrwjw9TKNt7a/EwrS2jwlV03OaW/LWtvj6
lR6m5mFSRHARb42ROL/vExfTJIspvK792aJQ71SPhWthKrkZ7aU7oNE3yIqbfIYYzlNcAzgtM2jh
TpulK7baoNBQ08/Iy1cCtGJviTtjacwzoA6cxaFMj5aKaIqzzGcy5GanvpweLBsFKFmD3srT2jra
of+ItMo5xfDWTB6ilSn1th09fwNb7anK09sZ3yjCotq52h6RkiwZ+KW1HHCToq/rtzYVDmcho1Fn
0/sjZzIK8Orkg9qLmQLghSWCIGJe7XIgY7Gqn2ffcD/w5zG1rPBiUVgs/Hpld6j4GpLZXFcxLXWG
8I9j8YZ0ovACI3w5zr0Lx9uHnkFS1rOM3Hu3S4ExO/43N7UwCkRnsldhdsiOUnAW9z510SmJh3UL
0CEp2pd5SF8lXsRV3dVEzGFoMLL7sBvjgAgz/7HFdrK2EcI/CLNqTwjK+gCGVPwiEcnus1ZT0kxd
FeDdwdVNXFIT187GU7WxKzBjR8P9xK7pJtJxihJp0d8KpGshBr6asrsn2gIXHk9AVMqzNdjsxRC5
mRvkwcdodFQwWe0B4y8QOgep3U6hSaVboVrABTZznaC8KtcmJCpGji7qqQZHA8znwn4xm9i5FkC1
PMAlKr9bzBp4fmDDn/lH02Op5udeMaLKDXtbcb7d+DOM3bWBE/J9ySjMuA/1faKXEUJ1iZzSb3vz
FayH8UTfL84LX+WXqcxHXK6g86Bkx90d5wJ8q2hw8jfkWuN77PX0dQwN/PFK58zkcupK8FtMb53h
RSLTuRuNicd4JlO4Ysek49tw0emM8yKhzMxr4T/lltsd4qlaOK7Qt3/Vpiefh9gi8Qu5rLwpIwls
kFRrIldZveV3kVRGSfD5hHuPVGhSkiGcODBabS95HnLdHlhHUcah/ku2dNTO3hsIRVu5VW3zZ238
BX6mx9fUK9/xshlrjHrvtOUGBpwEM4vZ2O85BR8Lt4WB1YqEa3XoBlPB4SQaiv0f/wuGuuxuZgRX
lJSmfEVmw7PEj83uxhBu913kNhjvzg6rbT2MEl2oqLbL6LgHFUYEdeaMVgd4NozH2Am3ru63dZLL
+8F1ONGI/eWL0oCE3A6xK/aGEQKsYLuxxo3iXyddJZmQgljgSA54jtGPelZK6OnUPriTwxoyD3Fi
g40wIHuk+U1vuNMjk7V421TFellGH3+z0VxhshmkdR6/FDeF54L+86xQfq9wIo0bJzcJzDDy4tnu
fcyzTGX33pSLu1wbWbf2YK+yigZFLxpC5kbHWpsiwr3WTsmWjeKu0XyBo0V9K2MTEHcTphe++M1m
MfzhUNmVfWeO8Te/uybfJdS0q0GPX50ayWfngIbPnOUyID8J7Logq8BchlUIixXwfbEEzfxaJ0HW
mc0KjuMtG0GgnkNjPSNWR5iatTs/UctLOcZmMEVVuyEETyPOsbDN5+1RkLWwnryFkBtJRGknjPBh
IMOVh8p9I6YknvG1Q0I3sfbepIrh18QI7IH4zwyJWCmdJ5ZNyzbGPHxPCk+y7Sdj+hr21g+IIJIE
gtC5K9u2eCkT7o4qQ3kMADK5H7QvdqN082KNVx2rD1sUd1ljk/WR54cjXQe87qeYuJ0Hz2bhs7GL
BA44SpzkhM2KkiBSjhVEgjtZou2Cmzw9TnNm7RM5YNicfBo0HGVsEA+zU7E6vSq1rze1R+Ox8a7i
3RpBwKq2GvMFfA/sneGK+O9HEl4Wwwpgd4+bStZPdGZUKb3T7hRWpJtUp+O2gLYdzJn9xv4tPF2z
AM6kwRIS3dDQzElx5dFz1I4peTEzu78bvL/yi2csmyIy9TZNxIwSuPf2WV23p3qxkm02dOZDrO1x
x5KBMWdf65rZzYzFhyS/8DEeJ/eWcSVvJWUp6DWlc2I1bV34VEFTu85c31jhIIlcIowVS45nI6Oo
1XImRs37nOeyyHdsX+gB2bpNR6Tc0JudhW8Ps9SnaHGGOzHUFyNagpJpHhbB3j04uQdR0HRldYrK
iGFcY+JTDVirDFt0qdkart5nA1oDhJjLSsWrxPCRIx3Y9uTj7kUE9wSjRm3vLAqFEy6ffV7M/bds
RMaz8UdDYySRZfLC7/cNL0S6mxgicHWxV8fAadG2TSF5P92r6aQxVt0E+6u2YqzzDmM6hjvs78zA
cYQxoMYf3I3OXFaKrTWe5gWEuyJa82s/i/mSztyPdeOlqz6mMYCIc/LKqyWoxiJB5qqnqf+JxEke
+kY1jIvTTtyJiBO6r/AyZf420Xx/IRE8W7nMPhbQ/yjaW++DDZx/loN1TIZUkCfcktkKa1gDgu4T
Kyeix6heCfGeYfQ3UIrL0uJbYRmBmYn6TftIgVdTOGb2akpcRsHUDO/MQOk87EbcRTAzNgiD0opf
HL4LIaZDBYQNFsrkmCdS33m0U6wlo4GEuOyNr2E7tW9+TL0BYXk0T0yfuW3GVCJuZlhJm+BoBNLk
k+3R7ECSqobmC4Ohr3hxvuvJz7nG3fZZ2DEZKw24iRXXafJq0X9i1jZZ6wymOWO+oE6n1+jopsBk
ZYqeBVYHbtYsm8p7NRfLOiyVe9cTorSx61zvlzIblzWTvn5rdVHlbCGHocnQSO/gKenegFss1j8b
nIyxxHbx2ns2Xtglk8piihF1014Zts8qw1DwwCb7vnLM8Qz3BpMg59EDIg9jvTDpDyjap0suIwcA
ZB+9xn0pnpsMDC9JkCnnQY6r2DCccdcN1/k4tkvrNrU1cyezLRQLr77DKA3GPsE9vvIiboKknBm0
j0lWrCwdBb1h2WdzyKGjlDYin3Jx7TqolJcGbuOWG+V1n6mV9EFfhQ1EtBQ5Q5vlZLsL68ljtr9O
TItQAE7TDfvd4mzk9kWOJbZ5AC247Rbvdm6bin5/mr6PhErjk1Fa3YNHx/4H+MG/NYlxfmBJ6z+i
xJwuLLCvsktw2cbsslcrzfGYtt68QJXPB9JcY/XozGwZZ9G/dsyhrxyUdrkBxUyA1JC0O65S9C7J
PICkLx4Q72XniZprn/qkqDhaveBZJpwhbZJrWvGUPjfodS56nOS0MgcnfZkaHLkrchIQNyVjva7F
ctPyhSBxOMTDX8zeoYuzXVzo+CgL3MNFqBSsEXlbh1kRDIJY6hLuzYFZxrhekrrgiZj00aoRzixp
y3yz9TwA7cBPXpG0ovpAZfzFcMWDasNnsPr6ErcRHnJSahkIEStO1G4cFFN6H7MnhKTQ7x3l8fz4
/nzCKcvkNZ/K26waW5xw2QFAgr4vvYS5AU3U2Z8L0NE0T+Km9nwE+5Z+Vx3AN3M+RRELI2XIY9kU
LG1MFQ37lHij17htsBNgSd5JxymerYGg51XPTvpQkrxlVS5ZZdgx17EjpyCx7IYoWD4o1YX9ija5
AfPHohpSm4tGvDSMZt24msSfJkr34OmQdQAtWcNGIboe707B9TXj5oMobZAdb+b3HNMk+LCSnzbc
HNWWnaR5GuzxRw2iald3kdxjmGK0h/q/vuXcknifxXxET4AO3I+mpysV/BaeGFbuQS0PSCzzzZKE
jKR8q3xoKC4edD/bRP4W9VdgC2m8ismTP02FSbyAb6lPdxIA8buMrLqFppSJdNhkPPlLc8d6yf+C
w2fGvFoxNYgrI8hgx2wkMbeHVMvqQJKQTZ6am9yKsmNQvsR5u/a16C/MBuL3XLNPXiV16cCqyCbk
DpZ7mt3OweWuJ86zpWNqOMkThn4fNgRcJHRbCfsE6fjvTeg7RwqV6J0hITUEAU3spZv0PqEJL2gE
BnnEOHodBX0xsaBEhFGZ/Veype0XphvJV/Rpyx2zDTLg/dDYLK2f/ogNx3qYJ5fNQVjlT1DB4g1r
Adr7qyNZ+LX3KE2AQ/HQSOw6bvwwRqzPwXgB3evjNPusLDE+llyvLGbm8K7xGwlXgkijfdGnzsZI
w/A4FEJsm467hua5NC95PuuvjFncG1ZW+UZBLIcxqp3ujo2B81gMNOCkGmePAHS+p10L0anl/iTg
4hhHU8c6R7Z3UTNZ32Q5MlbMeGZWZdWb3ImJgTCoLZDYLPYBihIwFdcYH5aFdTFJSEMb4Fqot0vL
IKNOfRCgvm192qkKTyh0oNXXxtDS12KEuLgUB1uWcUDyKp5D3TYFX1tafVpnpgVso+wHXXXhQ+r7
1QYbdP1Uhskjtys1j6SX5voV+7bwPHZpcXbqsnx6dnWMUaCHEegYec/OmrI2oEbOvvhpDZWlMcL4
dcQonF59LpqxA/PtBV0NRxSU+K1nCufU2UTBlnXiEq/M9q7rC7H2aTnXftpwXbHre2Qa1u+l9K7q
vuvsvTaH7hNxzbxWVSQfl4ZwyHEe4LraoPNpuvxjnWmXmQabGB7VZtU7hWZ80nnMFWaXeApkeQlf
SzbYxXQ7Jv19sVg9yjhiKQeAYVvUZNScUWLsSlY3j904QZ8bO7k3ncamq1KWljSVs/okk1tyUyzl
cxbzGVwDr7ZJ7laHatThbZsO7R0OtuwYW/z/jxaEgqvMA4rK9PEHB45xM4Zz12/c3FDGSuY5Z9B/
oRVL09TOZxy9Wlrga6+WuyqEUhHmX/OeYMWAVI3k2c3Zf0jUV5exDNO3zO/GWylYujCnRQwLRTTn
RErL30mw/9ty+f9LwYFgIX9RdP9dCA/xqvhV/47Qnb/wP5Ry4nAtYXMloOwmOvlPGbqo4vmjLrpc
x/75kz8o5b7rSQsEPn/5Gur3R4au85sFR9tXsJKlBHhh/UeU8p+pgH9o4JWD3xpxvsVY2PccXusv
GnhiPLWJF1jsw3jB4YnbP7Y2gxWKdGeSjVnyGC35RSVhHKPQEqpcI0vo6VL7FJ1G3HsjmSnS9FqI
Q70F9NNc5EoUcqiY4A5hgnbbQfjtt+PGtiznx4z3VOMu9JKjI4nBYGCjUFr4Y3Jwy2iTyrK7OElp
3/tMlfC/zi7NpVGeJ9tPDl0UspO2nUfl1B3hDUgpTQLeggoR2Q06n22HdzV1QEOC7D3iCF179TAE
S6sXCH9MJezrgbS0qtoSNb6A3BiuzFrEFVXj34SRYd2CKo0I0I0BDCXJabZz5IJImxBAEp9YSfHB
QSrXeuzeUYEplC4JOPdOLqthCucDOqT+fvF9fcwSomTJe4ExNltwWqz+mzcZam96ZruF1O0E2uc1
VeL+CEfPuu2b6WMZWAyb00x5kBq3buOx01m+04cfjEgEfRF+mRpxojs+O5Sy/TwcC8faJTHRgvSd
xrtDLu82nMQHLtBd5yCUz9x5P+T4t2wtniL/yoMmNHAjsyu6IYJPgJX2Sx7LadN73qubmue0tRRJ
DwHE8nadDFOz8aNGBWowxpOlsT7C8ToWRTUjeHR2KMVpOvL+krU1i8hlunKC8Czsde18n7WB3qN1
zftFuPbdPFydm/gn34rORp9buWP0boc4+mO2p5eMyMIdigTnvW0HY5cPjborighc6eTOn63fj6vB
SURD1zotJxRG+tzG2Z1p1cmn02rkAXMtVuTEkBDZVRyXSd5/1NlAB6EQbzT+MUMIRTK6xQ25GK24
o1gPOWrVJas8P9Du8qDi6j4jDN2ItHdZiCg/EMeRnJIGICw6+NC+oJRugkTO77kEi6yM/I3sqPGm
89yDYecL/lOMvg+eNyCSR4mE300xuHPRcaW1Zp8oSHJyyvnUZ96dZTjyoY+6zjp7XpiSHYOYowHp
aRBdVzhZMWz7gtp/beQ6Qgzh5y6GhZE3G+QwIbpV6g7c7Kw6inzjLMSc4D1PXd4wrt6HVikcv6ko
OrYtiYCok7uLaa6HkTACrskJB3rnEZqCvCYGBuRZVegFYR5qln2pRQs/GCWhkniq2YKRJln0+8Hy
634d2yQwwst1kvoLKr82YctWqn6BjqKuHZlZqbU9qpLrJqaFxliAEOEErCbXW3BUoKGhEbWK9WND
NZnJ3Kg+6yxZfF6XTdHW7GIiqCMm0i4FSlg6mDJ9grtnP2I6GI0QWnexcGd7VUlGHJue4VO8DQtD
dR8VcaIFQhmFdcCqYAag4PDlGxyd+UupeWJ8gvkubdSqOSAmOmlW2E3iiiQ8DaLKHqEvrCktSUKS
VY7Th3KKD8vLDMQczgbgQvQMm4onpGflbies9gjXKR47jAw/dHilayYxjgy0KomVXdwqLdLtMjil
2hQ9QtPbOCv57TMTindX/nW/AbHPFtp01UJYT0QHvCuG2LMOSA77/L0B/ZRsfS9D1mIXCh6yM1qU
RL6XoEEb4ge/XGCH5i4vONRwvy2EVl/KOgbSPYdTK0kIAodULUciiu23zE3imxJnzDddVrhN83hq
boaqQ08fqyU9FBP1lmIqK+MOL6rbPaW99xT306sq0ynoyoZkJQk7DzVbfi9Si2MviXCMlGX/CN+i
2o5jp75GdkNtKXpnebPM5UO7A8JGcyhfQqO90jTgkKTXDNGxP7n8u+CGsXNLwRGqx+Lct2Mmdj5R
YT80KrqrGBDA8SpnIHw3t7m1MeIJLFuk694OKo89yMYuy1yfOLVfxt6ZvK0bN/1jWni5eICePYbb
nNiMgEGiS0lZklY3s0+YHiQUzmVP3iJBsASwY77xrPiDhb8lVzrBIxqo1kmeWiBI4xsNQd/CeWAq
e2WpQG9uonhFnDfpjHr6PjFqVSsqNTJSFfs89Mr1srVCkk/bqRsvWPyTO8dguzmKabpRYrifMxj1
Yeym94qOiaaUOtFYTI/ZWj597Vgb3teGSfoRYZj+U7fk8/0ctkV+Gf2q+l4KKffQgPUhHAvPQJOq
im8uuZD3BsMvNgm9fzf1xUiBa6Xqe0S9C1gM6TSWFYkzpxVDmK3DXqhPlS/NuZ4H/RlSU8Ia8ysP
KITRUMx6Bop6W7hxvCHvMM0/E+UiNk6N2LzNRnyjVWW5XwptpKSWJ7a39fFi5mcLdTynwhxvrgTU
pwoQT7TuMl3+sIkF/RxRZL/qxkb2CijRB4YC42DFaIdmPJloQ42K1WeUd0Zxg1zAeUIR2BTnsp5U
hqancsDHJ8ZIZpQZq1fQ1oC30s6fdimxk/bRtTLnozLa8R48i3oyqzI/lwkzPyazofect5Z8WwZu
kGT+yV8o5ujVHQ127ZMVYSCac9QZeM4CZXukZDIU31iRtJAU2v1hJLxgRJ7IJEMO2jQ4I6o22yrG
6USpGbODScpfuucptoxb5iBMPaeoY87kgkdAvGUgs7+uhkrNKdnk86o1MdaxP5jzTZyTNtf1EyG4
ixCdvG/TMX8tuogvXRVF4iqkHENSc0Mfkb9/zZFiYzP0ITpUQAR0ICb3H+wkt7xnkmvMd9JlKXFv
EPHHLJNIyBE6lsCa3QmQCUFNCxWR8ZhH2aowMpLIE0WXvotaX0bnpIQlsB5LPd5baFCio1Mv0jwT
GbuwQfeRAzCaqB6AmUI1WlJjHh7CJpH1C4zL9YR4Ha1HytzVxzJRZjzyPrtzRNh4YTJ8n2QDNP5T
OBXufUrlwtSE5AaYeE2yN5xF7H2pJvgKib3nPivuiN9CuoV/ZYeJjJXgzIg5MNJuOXehA32pZEty
SpBKN+saLQNguG5s3yflNiX6i4ryQZi33azZvbbhg8kDv267JNz0LkPSLr9Cva2hORVpEj2nHai7
DCISG+jajZ4AnGPiorop+Q1XiGxmaEBnJhQq25HZkPp7Vo6KX2vdSwFDBzPixUapfqcQnyMzjcWz
o8nO2wFa0iE2w4xjmSB4F84dsZQHQ4XiebZGyETVPMOR9edheJxEquuDhRH7GNtL9ME1x2EZtpqR
3qhjEe3zxIRCRf/xrbYKn+xOM78sTnVpPGvadchDCOmCttqWizwjZFdBOchTs4BZJIj6CQQnxAOy
4E4ahfU3Loz0MfLs/KMGfrJrssaCkiqMDG1KG2L4d7zmI4qIr6sgowGNAiYIypMLqp5ijzVx0pIh
bnbC2TbCu86A0Ou1O3bUUXgjY+x6XaWZEesJd0WGHnXd9HP1Xnfze98YzNx6K4GDVZm2bFgnEi8W
MJwiHvaX5uxf2G3/bDP/e8fzF2s87B/S8HBuHBzoPT1kmI4A89xIn/7zl1HO1ctOErCHjPnPGIJx
KcoqDA198KaW/TMGiHTdzI3j/cPb+TNp4/p2rr9fC2KDSUfIf/75dSzfsHvkCsNhGcrhW3q94d1+
oSOIZgWscjKy5Ec+Mithh1bY6h9e3b5+Wn/uH/Fog/kg+N6ju/3r2yRXLzNwVvUHp03qLbqN/tFW
hbvFU7vwJe3ye9UgMcowF37N5ooxB9XEaPpPC9WF87PMgKKSXwuP0qXuX6bL5JEt6oqGsYppRgDw
0qVnKmwQpXTXtS1HVQWpirEWrMeV9H+3+/9/BnddP086YRP6AB+ssvGF//nzXFCjwkIc6mtwZocm
IktQrQBg0eYGn7HPHR/lSvxDfNffP0VhuqZD5geVqUvq3p9ftMV76IxMaHjRaDkLT1BL98wOyR7w
5ubbv/9m/hmQcX2HvBhQCN4g/xKZVX9+scgXdglcsT/oJTE2srU/AJFsC3Pq/+Fd/f1JQ3BOGUKY
GkMOIa8//8XVjtfKInU2KQ8JMrT+zrHqkIuztOTwT7iLf/H5Afygi6RMtBEe/+WXFmWEjEkw64fe
YdgcD5QUxI7H0ZnphyCUxBZ2twMYSJ9Xx7q7y/QgnAvmvDUXUfxBXg3VX20hMkAXEy776Wd92P6s
Ff/9h/+3z4SQNr5a5GlZfCzyGlr362cC7y3q20olhyyOTe9Qq6G/TNVEs/Qfv47gsZeS6C5e5hqB
9+vruE3cNVE0xIcypBkIWrbOSRCBEfw9W+1/e9x3wwat6qrP/r+v//J7BToMh1f/M1Dvj//6PzQU
tByeol9+JX+bCu6JO3mPv+X/EpDx+1/+fULo+b+ZhBQKj+ysa5zhHxNCT/52xdiArWJ4aP0+O/yf
CaEQv9noS4kyBBxh27bLE9GhaoORIczfBM8b3FrXkt7PH/0lt/Df5RhSyvNN+eOE9xyTTEzfYqrO
jBCbu3NN+Pv1KYYSV2v63R2ZsYBEvA6wROfTkdXG3Lw7vWg3qRn7L7qRaucaGs2rE/aBp9PwgLbZ
/jAZgO8zoC4BY7q7oYCv6rA1ecMTgkBzcaH9A1xr3pue1Ay/a7o1lKHoFuXu9KCuuMBqKH+2Wn37
QbjJvJviznuAz53oTWzWznuI/BZKuePGWxr47ewPNxgwclQNyIIG7faHZonQWGN6nAFjbZPax9GO
oaj2o+EVN4H/kRnuIFZxPBPjYYTDVpQWLUWe5tNHlDjhG1714bjAPQ0k0Obdgm9vz2XMFAzQ966b
miGI7BwdW6LugFrozYzrZF/FYMqaeXBXugFQnAzdctFwVDd+SncAT82dEcGVpA8tYVI/j1igfiRA
n2560xDHRg1PS2f6X5CdqIvwGoiXtmRQarsVWcCA/LsaCXzbehuiWjBHz1DQ0enN07qv7OwVNJN5
FGrqj2VmvwM/w4KeJck5iVH4J54iJAkxDFvVDukdWFS5ijIvwS0LVQLOojoRR+6cI1af34m+ws8y
EQv/Oc5uf1PManytqMpv+IXzPiXTubBBTSVN55bAQHgPnpIVZoU834Sm+pycDCurGyPLzcexODbZ
tSzNxbsuNO7EBez9lnIxBLnoOnxQRvnoFHa6zVEe4VIbzFdUy9zGLinWPnK9oB4y60bEcbenQ2gC
LXzeenQ1LEa9XI2jHAGNA0sFxBa+qBZnnWQjz24YRufYwSftl1h8neY62w+2AvXgeMWVC4EMsVUE
3btsWVetDW3eCzvEKx4Ede22m0LGP2w+kpC6uZa3ljWmB0aVaF5D81z3ZnHW1eJ/yNqJnidAjsNK
i+IF2F1+VGR7P2mc+/heSNk5qxGut65N+75rhFmy3DXwyFQOClqnHeqPjk0hAVPG2hqiejvUqX27
CNyBqXan23jKSWdwbb61CWi/59zz7SYAoLJsjYLPzE8tMzDacnhbgHufDKXqB5y23onFvdrOGqC+
mNKPxrmaFrt2V5MO95LV7J2zQo6r1ohOsp3TQEtw5uhGy2cL1MttzLsDW2uMGN5C9D5QwdPoFiFO
dBGL5QR9LJBKz9aCeqXU8C47QVoOeSUEmyCtgcQpy3e1ZJ2/JuCt2YMTcbbocBQq5CugsXrvrAn3
YJiuDVMHMFyNbVvpm2LEW6MaJg++6T7FJAFEVmnDQbjOO+3YNYJfzup/0SSI66n2l1OPhTrntMUa
hkP4Ctj65dTDQ09aScdxAOrejlejrBju1nAXoDWrsj4TkmKvNfRr0ZWvOarDmGC0tr110IyhkArB
ZPTLyESliIegjMv85I9X3zltenZmXlG+Vk3ebjtPJ2Lz/6g7k+W4kWzb/krZHbwZ0gAHHI1de5MI
RB/sKXYTGClR6HtH+/VvgZl1LcmqUr4yq8mdpEwpUYGIANyPn7P32qjyrXyjVIOJT6E1vvU+nuf0
49k2kVLCc+a5sA/tsi4MEIpxU/amVWwQhqYvv37rsCO+vPdlXmUt9RQhuBSK+pcVf9KUhVUqJJVJ
hndelq+cPDXvNHd8ob+QrAxgyWsJrebsNB2MEqZHNHaZgnI3NBVabi2UjbGRc7QEmZMYtEvEguhP
sv4dJX54j71+Ojj1sLfG7FCbcz2uRde8uK3alugzdsyAjiIT7jpN4+91PZawbIz8esTmdKCurX0a
NHRyDfhtglk1g+G0R4/ZQOwp+sa0SVzTFa6UVKyDARt6b+Nkkt6Yo7YfvBcO7cXL1Ov9FrZp8Sbo
4F/KcKovsxCfVTQY+a5Ug/NEAyk42LkZXE953N/yW2fbzF1M0oWJwb8n4svzlLuZc9Jwhq6ad6U9
mGeB7PQQEupGTw6ezDZUIrybOGD2q2EO2zWXPawJNY22KTGWO07zNgYI1EeZyYSCPaiLN00bNA9K
QBUKUSc8JCZG3DorrJ829GU/Vml6QrLSrsZKJqeKeCF73bVCPmhKiitvdrU7sx0EKjIvZG9x9fId
nMP4QEST/SCdsrgGy9Ncuwifj/qcG3vTsKJzUOvNXvTWIUdQrvrI9cGvKMREhPcgPDXIuhqG4WYc
8vQSSXVXEyxHSllk4e/KJsJ1kqlu7jpBE0cXIE/B8Ig3QtKD+zKwSm8dZN8ilcDjULNEF01yVf6S
69VwMZsCJ0yjsApH7XgqaF+dc0wbW9fO4jNTPsZODQzybUPQIx7G3I3WetNXZwIag6tWG6ob2xmc
ekf3biIYxgbiZ5nFpmmYZYD/S6+7ISov7HFWfoRgYJWHZnVE0IjrYllFsjqgXHEOdH4RcRdXuF3u
MtLz6iEjfSCcLsbWhu/sOvSU2CbWRHXBKmDNCm1Wr2BZx8zQiNAJaNpPd1nhgFoymW9oZgyNoGeP
175oM7mbPxbG7mORZKWwMLWxcjbLGuo2EetMFouZhSDSFToU1ttpWXnHZQ1uhDUeCxLSEHQI5MVF
0OPLHSZWdAhltz0xYqdZN7oXif7GL+l4+6nWiG3+sTEkyx6BgJMJWWYgxkcCMV7WnJu0vSNmMmPV
xxakexUaBE+bFMmXRu3cT3oprwgPtQIfEbz3I24imDhuaaRy1+puc9T6qtq2yz7ZYVLxk48dtKhC
922oEslWwT1tsk/F1Qm1DFTMChvrviQbYxfgcYn95mNLZ7zKF4v7JvLpTvc44GsHAX3LV+R8VA3T
UkBoVBLzUlK4H8VFag948TpHEvFA3aFTPgZeVK+hBGFwCjLXJRGsG095ZuCI97TxEEgUWaiy8l1F
6eP3bp4ckq4TatW5ETis3rPWxViCdvayNL2QcJQPpioZLjPUfIxK4EoMe91bUPpBvmraqIVl3Xjv
9VyJ6zEb5Pc+6/rruJ3ibyQOqTuQ1GPrh3B+DyqEkIVSXgOprlvxFYSkAT8VdtdLWzO7fYN3+YKa
joyogZ7S0sIX8jpnVASGvcovVdczC6gGp3kbm/5Jtyu4Ya42RaQk6xJjp2vsXBIS752QN55wajg0
WoWGMyL3l+GvSwcYsKkJtcPSruVcmgcHNf5dnpT2Nd1LuY4dti4DwtF9hTIGDrwO5MfUYvznObAD
hkS9C9TDqACjemPSXtgEcm1snL54wGP9DZRV990si4rPmDhDnBU8aNthoGm8su3QwZ2BYfpxcmK5
Y17FU0zfJz5i/IM52bja0av7YY+Xdjwmjgaugo4iB/baDm9iQBHPxuhez/SP7uH0k7lbaogGUSId
EbHhhBgs176JJpG+JCauRWad0lyZTa7eQlJ7XqpOtRvdsWCVlmmw46+86TSCN1yR3Ki8sE+i8rj5
NUdlS8ZpfKNBpCT+izQ0Bo1UgQutxbpe2F7kKBYAmwkPwci7DOnfdaEBxCddjUEVBYDmVzo5zm6s
6s3SsXgq29Q69lPbwbyLBz4Hp9sQ35Tww858cESEFm9YFP0uBfsGgxDoNM8+err1Mx+8t4mQzB0b
GFniXlAWByylLk87GKtVkdThLU6RacfKQ2EdpPpDgpEUpkL+YFiVeLJqg2jSLqseoYckjyCzm/eU
59336J7vezW/FJ7+YNpAPlZJIu2DtMoLYQ9XCcBCin4QXx1O3g0ugZnwjCxqy43eY2hedx7AvFNT
WdXBJTR1rQewqjwzM/ezqpKNgbT6Oda4T3UyHE/joHW0X+zgu2jQDoS2mwxYoZeyfi5I0hvGbl6P
kfWj66Jg5wEm3NoAms5kC8SnamKEe+oKrSTwuBf32OXacR2Xo3rvSQsDd5e27rmoC1abPjSTOxTM
NsCiRTec4AzZOljyd01pSkrjiumwFkg79olTtPlXwRRkcQ+0yamao4gL2CJuy3vvsyUcyiVUEFTC
YnyrPmB0jNs5jlyldhvti8aZN/j4210VzCMHJ9NE3JZOh9HzBKJWXp/kI+cppxKMYXBN3gUIumkr
Kyw3ptE5L1EdGztICUT9Qs3pgDFNPLXNpEMPLpigr6qyRXTbPntBdzE7+s9CxWrTG4HxqnrNufJq
bD9Odd+iHQtXAqXZrQAolqMWJkgoMWceg8h9yFVBUd2xt0NWNcBVN8PO1WvALZE57vQF3IPtSX9A
XQq1AuEZucUN9pK4xFsaWoJppBPkAhOdx/2dMfG/pz0x39tMC6o1ubAdlDacqGlUITPhPV+TJCMu
4PgDcFlcRUSHChwmsbJ9C89asfMcT7uTbNXXplEMP630LWjxMAzViMI+nCMb2+tk7Zs4pSzSiosc
T6Sl11CZ2gzoVZElO8goNasIMX5ybDU/lz8gKmXJFsK1QmY0oQEfPMfwqz44qyGZLykIT0ogTdC7
Jzd9KefbKQK1BjxyVRci+ZnI8DJN84J5XqXfODKon7m/2Lygal8NsxOesqionrA+D8i/M7oQKNQ1
7Dw80c+zbIdv0H3N50BP5aOd2PVa6a11aDU9ObITRGc7C7S1GyULaToDwaG1FBVJeFBNEuPmj/GU
M9e/iZPKvgUWMr2A85xRbYf5oZktxEsJcTJOgWoCjAFSV/ZTZ3xCc0q8UoFKdRmfRHvgKTmgnKne
WJgDmFl5453ogmpHJAuUJjKBtnTZk721RNygWJj9KQumTR8b454aUsd2Ubq2xZBYD65lVlQHq+7G
bUiq+ibF8v+tian8cJxJfEId7Eir8fZhlhEOVsbEzOA0gx8kc3Idw3ze9JVKnup+IiZYjSHxgHEO
+Y9FlAQFbd6SADCiX43qnWGk3zJtqo6Mh7pdGlQUZClGJugdnPkhx9+TFdFu5q4qjwlrBrr7CVqF
jEtHrFWmDajF2pQnMCX8lacfj+Sij0lWXEpJ4FTOT/QqBzUZEPlAsARR4tZiiw8Lcx+lrBABghm/
Vcw9UV4Q2C1QGCuEvyvDTcFFJSWrGQKPYR2m0Fy6NDgJIwguCow2hRe9SRozSbqEs/ETUXBq8iBd
iXQ0Nx35FSrHbbUo7jaZnKcjHb4CDKF3y7l8LTyiL1IBFJz05SC/iBYzcz70jk+fYN4QWwo/DNce
Z3M3zU4R3WU+gsA4DE1pIB3riToQbfEzCiD12wMdZtectDU6W6NamQFz5QIb4A+RlekzwcRNxmhD
BLcYC70LzCDZNWcVknuwaRE/YtNZknZrPiQYMdYYo6vn3F7cqFVWnpj9J5z/qmRfgdTYg5LJdlbf
1OcCPfi+jREb4yrAGOMgRba8GbdIYux4wsxviuPatdJQpBe902zinN5H5JEgoIfmSiXpqRTyOLb7
yeXz7Arvmbn5Oqkj95b0Om8HfSt5YFxrHeo0y85O3DJz5RGEP4h3jzjj7q/GW//sKIwRwCWhBZS2
7n1p1w9JIYLAMvG0TBOZG1Zif2/CHtFbLQvXQ47O+RezZ8gstYAz0KTeQBppVGnYY9LpbYEJNZvM
ktFmQniH8mnpV9LTQQPZeXoHuyeaLY0cpqXDqdvk0QCaoUE4lbZ7jGUJoqDlhKj9Dkn/T3ft/zf1
45lxQFX+17jq42ued3/7P6959d9/O722UR43f9bsMjhafv6Pljxo6kWwS31jkF1A1/u//ja8t+r/
/pdj/mYuCnOXGR2/2C43xN9b8vI3w/Sk4Tq035HTLn38v7fkxW8IRYRBK99i9mbTQ/83WvKW/XmC
R/yoRSgPTuMvQ51CdKHR0UQGp9mg4ybnDLU6vAP8HXF/WVkp2UkLho7Udg39/aprrXQDl6M+TSNM
ExQk9RYOrLy0C6y0ZCM5foY1ZJ8tWDxNBfSnKi00AOsAZ/EpFOHlBGa7qks1HXKw1qusjaZHnGjt
zuGQumlrPdqXeVNf4SBPH0Ny1MmWgyqSL/XS0GXpyQvBJRQz0hJzqavyImqOtFNAiEACe0UYbJ8c
dEOxH3yUZe1SoblLrZYuVVsP12BVfpRyw1LVlR8FnsMY9Tx3IWFw0VIBhh/FIF1Jca+WClFNNSEg
dd2j4IX7da7EqG0Dtwx2E+UlIQ3IgV2CNVEoEU9VLkE04NUghZVLdYqJkMTgpWKtk77ycb3Nz1qK
2Ij+gbk3lho3daIJLjeD5FMbtgGuhN+r4i7XsaDZOcZwhK6rCLLcqkTxcZKJU71Z6dzT9qg030Vq
vE4+avClGi+TIn2kz1E9hjFQVn2p2h2OBM5al1FxjJfqfqYjofDGxs33DunW0eyAN+8og1MdXU0r
DwMwv3IFFEG717TcGS9my2FYMneZ95OGLEK3cWYzizOtOdmEZr1qVZziZrN6b63lSm1iPdN9ghn5
V+IK/s26Mxu1aenOEmxkik0024Y/Z9CJAI3qPtNY7FcwSMQtbegctynfgi8as3pgHMs25nqIvr7R
HHQxCPfkaUEnbmEGZnqeYxNN3fBqyc84eHkdXUtBaWlUzZIfViET4WNrSMOuu2i6DpB9swzi2bX4
J8V1wyW+dqg0aTJqSkcxC7UG5JMaqacGglpnJxNQOvPmEJFaus0jI/g5VTbX1OaezKidMWHC+gX4
sAmQod06dhu8sh6nxL8FGv8hMZW+XixJj/Qmj0K8htcRxKr1dZpiN+SCQ5AG14VBuJuxLQoxx7ex
lZECXmMwHoOyYgQUw9mTpcHJOWsaxVY1zJwqoCp3uNGIAvpB72h6nTm/fjN5WemXmmH+1OkL8EhD
FsAqPuctNCvTJSXGjFtCHAlpVD398MI1/YyKBS1qJsjJG3swmyTJoXYUmuNa11EM7tpnYw7BhCWj
vfTqO2R8GWXjnRk76bAyKw2rj5JtITaJUbsL2qvT34epLg8acrklj2oO4RiFBfoeTQ/k0UCd1NJE
8rzbbBy/C51+4WSU8rtF+NUeVZW6HUNJf7zDhzLDt73mQ6GrYrjV+DBqSfjKbgqhysbPV02Boq+F
sxBSPXJFh8hGZlJtznudyXpayh++pzHI1Ikylp2VWPu4ByvkddVmoBe7pInRohZVB2oOOnIj6Ez5
o9LUA7V09EbC1vAWBjjD7TqYLoknH67jotWOapL5NWJjqZZ4VYwPljFZLxqYDk7xjgl/KZ/18ozo
VIdcXgKOChK8lpGO4xhx9HqwPCJcl1DxApQXjj6MEh2cpxin1xlbs3xxrRBLc7H0UeD0MhtTAY3d
ymHtId0u7Un+MmLUdRSBB9Ds5ZFknwoaHBVD7CtHBOckccb9ZAOYjEggBJJaucFZEuLJiErT8cjX
jdOCdSbL6JV5k/fNNjt0eW3r3eLZuJmIyV2H44h6xXKLLUG4E0I42VX3tuy9U14R6x5aVvy9FJF1
7ChIOdV3Ono2uvI9ntiNJAuM1nuZ7kWsST/DTLSBGDL4POrNhnBJ+OIgOP1aWdrRBtv3nIUtgsYY
/MdOMpJDk5/Flxrr3kWOJOXKaxEAR2SE+gBN2lvJOn9dhz2oViQRI5CctN5hHLOu7c5K741Wi94N
h7KayLe033Su8E4zdtG97hHMArRuAHIdakf6NnIPVbUoOQoyi/WrIU8uQpkP6QZ89/wWamAVkzSP
b3Nq1wP5Xjf442HvsVpa2cpLPPHMvu2dEHJyXpdysm9mnSEhkm3E3LWn55gO26nArqVG2itl9DNJ
0vCWc1dwL6oRSwHjKu8tHND7am0DnysUzesA9O+R40fjj/oM4TgGxm5ZanYI9ja0bWFjyVnFsJtv
8tF0SFWfbciQ83DuG83CAILREiuIERwRj5WrWQ+HgyfieBtGs3lQWo+HXxpKbR0tyW6lg/kixqgD
FKeKmnfaXzHpv04/v0IlM5h4prMusDGUcp2gQT5H4PfX4RRAjNVd6zy7ef8s2jDZMuXpyHfLiU/1
8nJZ492IVO8AvTAWnoLhrVldzq6NKGv2avFukkt4ycBj3KTtRKNfd+d5VXdu+z2YMd8acyG2/VBr
x9mdu/ecnuVCs+vv4NqjrXIsiYiSpuURE236ikMP70HhifAqTCOdbjuo4S12S3O9gAAPXWdZ7AaV
052cwTBOfc6c0NP0bgd1M94BlWCl0/iZQ2yEjNrqYLxOCCLcAQ5Kjq3t1nyaqv4WDAV4UbYTADgT
oMCxbG8H2TA+dQPnvk08+MP9QCcLoCj53So+wTq8ZKBfHNpeA7gxtwyzncR2zh776ttHbfqfLtD/
pazmk8oGvccfL7yoVD79Bu5ArKYbkm+n2/cWp87f69Llb/7//uHf3j/+lb/Kk0HAQrX8ryv082va
Rq8/hvf36lNl/vvP/VGZL/a35VF07MUXx5DyfypzgYzGoCon98k1PXeZav5RmRvGb46OEMpDpogo
yra4jD8qc/c3YaPI4k884QiL8dm/U5l/mRrbHtE0DrwpnfQa0hoJtvk8NSbzNIgaokl9e4CEnqM5
G9gPwrx5ATfEJuPoPkML1KBNtwvwpHOM1h+QBejnsu2fzCF57qrm0m7mReTSd3tVq2uC/egO2Ebs
lx0JrXXVWutGZk/KXZAIXvqEJ9v3+umIFpWqp1s412AxxZBc/enb+Ccz8c9CoI8355rMw3XwA8iz
rS9vDpZEBK0Ni8uYJz4ivm0a/MTmf63bf5Xh9fWVLL5JacMKwpfIAczDTfnn4XuoNYbTM9j1ibCH
V46OvNDOkyp9g9yGX78pcxnk/3nQz9icVZbWkW1KfhFfDJDsr0OusTj5cMm/OwGeBycvHhUgM5z+
BuaKMlxndp9CXiLqxOlB0+u2BYmHtBZiFQeCF7pqZ8XOM3/rvijyC02K2ZeyeQq14VTazquIfEtW
NtKh8q0Z8wn0AoezsajPkxWy1iFkIrtUpwLo2oPJUGlNGOW4sWCH+1Ewvdr9/FzX8YtZO1RKqS7X
v/4MjOWb+/IZoBXUpbAJopCG+DLwD6Cf95NJ1G3puruItpyRj6joI6hPnJm88qnKbTYRKLsR3ewY
rKLV5z+Qtb//+kI+XujzhTiLmhl1OI5Y18Xc+umLnyKCzPOQbgkZ3xxi65oCSXOe3LBlCzWy71mX
niyYKQh1Tk0335egumHSOjsq2YxwCHFjds3dMv4YZb2jAnudk/Aln4ztnMnbv7jYRVn954t1bJt9
02UWpzs4ec0vd2kBOldL1RhtdJ0gV0mHzdGHe6vX72rNvuCkdt925SHx7P082rsYnhHOJWx1FkIz
jt/NjDIBkbRDY2w9I9WObORBVWOtfn2d//Dtcp1YJcAWWDxK6Ay/SFlkWDvkQDkaNsDsrnITRP15
PjDdHq8G2Z3IskSKlpB3Z9nKWqXN/NLXMwkUQKkg8/z6YpbP5Mtn9udrcb+o1RlaGlnmZIEfoFAf
CapKPQPSormiBbdr//LlPtakr69n69xNFt+UI75KWRwzSN0ZbZRPoBRoWZJGsO7BR8sH7grrjqBd
8iWmvPT7UoObkjvxtR1NB0uPXpyJPnKSoP4Kh5ykXa94WjBOIT7gPGnvSR9PTyiPoNYH3ogKIL7x
cr3zFVwmzZzP1IvEHhDivSLjBc5kL1ZkWxgbkMYn1/MoEwtQ05ZVn7NaC7cBZc6q8uBpKBe0K87G
maY1Fl5B5s9GmfP1r7+Iz0ss7SNuClvQi2KvIl6Dfe/zk2bqGTxBvggaHZvZCqFGXY6Ji+784tcv
JP7xMaFXRkuMGpIXIuHs8yvJGQ1oEfBMm4kDRCx9L6TBfMHFwT0v4myvjR6TcbizavLWu+nWnMRz
4OZL8R28NIG7Bgb1AwPUqtDTfZPR4lHNxVhmu19f52LR/3Jrfr7OL801HUtVKKo6ZUZnL0lGRAY4
yVpP8qeADRpbaw+UtupjRlERxNexuGhGSGBuRdoRZg+kHjOmbavVNiM27T3FaH9B3msOm3pI97SL
g11Y29Zx5uj70A0AA6taXfYl+jir6sBdKTxBGl0objVeGLoujRZMYQgrF0vZQNoWqbHEVwjVce4p
H0eVvAbRop6thullkt0D6da2T9Jl/zOnTcDBOSQUu6vDU2GX8xbP5sOvP7N/vImodpjPUVrR2GQH
+fzVpsqj3DALzw9lgAgQ9Lrq17FJNGkltr9+qY/Eys9P8kfNQUSeQAxNtOfn1xoTve5as/R8aKTm
sevmR5SM5qlqpvABzRZm1hozbzFdtOHP0GEIUZKki/eMDXZQIBGJ+bX5UmRzbXjTX1zc537s8jBh
gZE8tTR9eZq+ln1Z0hu5RLToJ3l2nMKtI7XTXH/7i0/ga6WySL2BNQgksIZjCOfLJ9CINOx6OwOS
gAYIHD3NAXCWfiDRI8cRaTPkKQ1hVb1mtfyWDNONhDJMq4x5oVV00PPyipZBXGycdrymCRSdM00x
swgc6y8Kin92pTaZjgveAm+S92VxUZyKM5JCAt+1S1aVmD4uYG8mmbiSaBERIeVsCQw/uQhvfv0h
LfOYT3cJsmJB7xbPA7syh8LPdwmCHjWXYQndoHIegsFhieGU55UkDolbODDrOK//4iWNf/aaNq4O
2/LYYfG7fH5NL590y0klmts62AGrQKUdV+OxsrDxiJjSPu++R2n/DSrqaxLbr2IW0TrQ3hQWiXWk
leWlOxY/EzqhRums4+T+1x+J9Q8LsCsopj0K3MUWwFP0+fpGrTYYCisNKlHn04zYBTLYBgmPC8QZ
jMDpjFSem2gYBePv6NjN9ktbNiRy2cFzg7QJ0IB1K4b+ZxJF25xggBAKAqza+Box+w5DDVtVyfS6
Kr/b7Lcbpwu3PT0XCLrpbq6s4ZikgBtylFDT2GEGk+37lOv33WQ9g5vzaaxseyy0VohwvjdBAv/6
E3C+inmxSOBMM8k/kDw7kI4+fwJFjObANSLHb3vnXuTyhrbE3imAmVfVmCFmUs2mldFFReTl2gj4
PyUkSwId2w18hlvVDLcW1J01SffuOk4tYEING7xDRHCuPzkIlPzco09rmM05bJVazKnkQA7hthls
Y5HPAjm3Bp8WCvZ6iLp26N71pvdsiPjCgO2RZoi1EnaDZCIpUUf8NXfzD/LkK78T9WXTxX7PhRp6
fpVl43lMknOa0bxHqfHaK+VrphnC/Rx2StkXpZbuas4gmxHiMEngoOutgv79aNZEJBDxBlmZoXY+
+pORjtvIatcwNkgh1w1G0tV30ONXZUYIpbeJ1ftffBV80p+eT9ekXObR5Gi3DNi+rAydXQSFU5vU
Y2Jdk7fg7PtyX6M6A6b38Ur/6Q7K/6YRJ/0TipZ/3UC5eP0RTf88kff3H/29h+KK32iRcOw1dLxy
OsOy/+mhWAusaCmXXc4LxnIW/qOFIuzf6OcZpAWiiUfLshzJ/2ihCOM3diTB3scu+NF6+XdaKPRe
vhZiSM5tm+EVqxaFqbnkAv/59B8bqFXmdG63i8XB8nFBRjssCtEVXBO6JVIZjy4Wd6QhzHnOsTlB
DkeSrw7uEKP7skQM/w19FiecyfrBFonZtFAe2o4yFPYZaX4XPYRsEhMj1NJ94AApVqISwh/h7a9a
PbutLXP85kg6pSrq+isyrR7mhEHYqiqGexzuBFHMRfGjk4551eg56D8GMUdisKJDE+bdNdy7rF2Z
jkS73mYqJxMhIoVUiUntIvTM+rpQxXyihTTo66ZzpxuvC/ppxfaQlUfR1CQVgku97T3moUR6zPld
RVe1h37b9He5UebecbYG8gc81BD2ikNq1B9EmPX1yiT//Iemud20muoiyKAx4aI9d2Phecc+EGDa
JgSmzQ3B4NUPq7HKmACcMe0fiETyfpSkLb2BzS6NvYABjC3BgcIZJgOhsLHnEfSkAVXIr6TrFMNx
1mT/E6aCYp8nBuklE51xXxKYhfIycG+ENSGNT5IDmGiTRr0WVfquzFz7jUGO1R8IZZuaVR00dQiM
xIYUH42gkWxC2bZGAhVwHRjWwv+e9HurLePnLrPCH12tYezXW+eS89rkbFq3VlighpBM1rwaThRP
xMqymbiEnzT5jk8F+LOSRPeBCO+J0Ygr1p6eqW9oqPBsZlqevszcHLeY8cluUXqhHzV0NkwhM4RF
cwhKpwomeB8gpON11THARHQfQcUkMElaBFDsWH6dIwCX8GwV6fcu526hxZMi189L2ulxmNzhcAhR
LAFu1TPed+cGNiSN2YgYxIzlq16OwQrXvvkzzHL3ESMQN7mhI2h6iSrHZioL8dzpiEdmQ195RM/t
yX8OfYYJ8U7HJR35Kvfik63y26UZDryHiCqmGfJmaWA8N00Wg4OHXbLJpjna1cpxvze5QMia6lr2
1Ddjx0xcSPT+pHaMIYUj/F+osgWZZ4sZzoVRBNLh2BbAmhwX58ZqYuZzHsiKWWI1b5F06uRIGhbd
l0SRkbow1C2rf24sB01Q1XO/0xOVMJjhT7pbZvKuudeDfH6VOGWix04vo3gdAxTgyA0bBa8UWobh
oKM3wEDRwahdl7mOqdgQLhJjpJzRUzvEI/WFEapyW5pOP55rWDoYx9JFqaW7woy2iCNETbk1GJjI
Y8MBL9zYzyYkW4S7buhowS7IO+uROKJau5RWGzXbWILr3zILNiSDVFLp13RviQ4ZpnHS/WTkiyZJ
qpApz7oIi/HSqp2wu0CZjzDdqBM9v4s9/tZt5A4wQyaHfuGj4u5yV7oDY30LcgzvWTxgY1wT+jtz
lzHm3KsoVvfAVuDngwGu79K2nNxNrClYljBxqnOPKJkHm6ZigcPGyB4aLlSsQX6l79mgvGZDQF5T
raq0ZoAZEm6A70SfC2C3rgZvqIDw1vv5nAHWIvQSbddAqkRSpe2BOxNhBFE6lA5eY900fVxcFoWU
P2xtLMSebi0Jbh3pbG+mlxEbnkdEewUwxPoV/mrQ6t4oiP20jG+1xRCVgZNhbZlUh4QhVjUVr4va
zZFxHa9nw5OCAwy+xRUyv0itWCCdlsDwri7XvMXcN+KKAVUaoVDhzJ3SlU2KZnjumX9f9KksHksY
yvmKINLpshtEeoSJ4o2rhsJuwzoUaug3vGFvG2q46CGuXTNnzwBsJ5G3TcDO30gArWsr4njATD1i
sqskY7GUnLxDUAuPc3lGmLlRT/FJKRKQpdbU97hGzEf4HcPWaEwCAwrPPnSwEBSeTunmm1HTkcOH
nMFNTYzJAqsJ503I+GunTx0RuCVIZbSfYH6RaSMUsYrqSlNl96ozmXuJOc8+tJGRHmx0fVu8LsEt
u2Xs7mrDae9LYt/fahVbP4hjHe6HJh+2vSzuPJYlZOS147WbqC/vkm4JGGrnqDrWGC71nWs44R5r
helDBWO6hyIwXkvY6uZaJh4QLbKa5gYYiv0cojGt/a4t2hMQOfcn4LNuVcQcJmmU6PtEqfzFcXIt
9Eupi2GvM8bfZD24vAyJ4T7P+xL/TTJcSsyNcOaAAybbyeANKz003qsSgmkXJGa0FgWOgvOUm3Pl
t81cfquzIQMwOIKDQSZYWQcwrP0pTaNQwXtyLeCauopfJJDom76bQL/XZIoACBYp2hv3O1tzc8aA
2D4nvURbAG+kOjKjDU+5gdlhVTMZv5UmYQQ5YZblSqGAueJa1AtSe/0hNVobdR5Gx1tBJMEhRpej
/MCGLugk77Yrsm/I+pLNEOSxuuTbK5514pHpOCtMQo2Su1JYaKnL6kfPtP86wo91SeUCsNwr8qfJ
gJZbe1qMNb8k+awgonKTeiVpUlBATd/QY/sGqqEerfKOnDWjIy/iDveQdhRWSRy2UXCDhVY3k+Ze
Qjf2EYD2A/rZVr3ZdW+9tG7V34zYB8wD6qH0qSQIN7yaLAXhTE+s4q0cWvU9MMnlWrVj2WjHloRE
oFjg0hMObr1zB8SJRGxTZs6xwshGBLOkP4pSHBUBxOqQxUwn26T3mzLGCSFq/jANlLyxEnS2cmhZ
mflyDRQfbaEwNLkzZuBI5gixQw6elRwZ1c6D+ilLj7MkOBx2MDPqfspB9QeMNNV5sBvnKLW4uknL
kki2FhJG5Et4xt8ydP67qM5b4lQCfafbAVaJBivBCh569pjQY4ZWabdsNhMfDlkQ0E4xcUb84aIM
9/ZNkrfJtprM+bX2Cgi+hDlPr6SbBN9VO5Kn0LY93hbCDEjMFeMUpdcGXtUTXzx+BcGPF3SLsZ+u
cqctrmq6zLcUppE/EhYIvzEm64Z5XTZzsyJ+3wkvKV+8lKiPtTSLYUu6EeE1QYpLWaEYegbra4fr
eGqK13SS8mQFHBVNtH6bPgAEToGnBaewrCGTVYZMgcqA1mI+Pi+ZG3r5qNyw/o5ipQZnXCLwiyPJ
6dbrSvuWKLvx3LRVcV96mPNWTVPKSwgUfcycMG4PBeZ4cyOssLxm1Z/8pnGgolHslNWKJk34LTCy
Zd0hj9hqhYegOveIXWsCiiZ/QrqWc3yc6hc3TthqXNhXV01eS8uvULK/KlWCQoyStmTYnqZXZiyY
cDj/j7szWY4bSbf0q7T1HmWOGVj0JuaBMymK5AZGihLmwQE44MDT94dI1a1M3SqVXbPutu7e5CJT
SjLICPjv5z/nO2NJR0ECrwjvb4FXrW9NRY6ThMmXeO7DJ3xeOS1X/M9u0ikRgMdBZGzQvJwXQf47
ecy1Cu+kk8C+5gETfPbMlrSnazFFu46T+a6KJ4pSYeCKFejC4GDXtgHTiYLcaRXzMztQezvs3b4n
Ae2arX+PV8jwQfmP1iPLVthYXqyeE7pgHlGkgzuQBMxtiSu7+8Lq3WEnQuz+jCSwtZjsqQkDERh7
j4MXprfZMHsMeUEOgMuW+bcy1vaDBNjMSWTXWH3x03hbd3CNT5542Y7z2dtZU5B99yfdbBiF3C+h
DmtzR+LXexBADIgqZFD/wsRO1yjqiCQowuEp8Wr/NcfkcVeK1vioSbQ9iilp07PV9eW5Gib/B3Da
tLkie7q0rHZu+YnFp3+eRz0dirkYzn4DEHTj+IlA4vCHrAKg11Lxk1Y8hQ5Slt5hkpnxxYuhiW8L
0vN70bv9ucS7vvanFKqkJM6yNSfVqjXI/eIkcjDyFOhCI5yDqN/SxIFW7k++9DdYc6lsM+vmCsnY
zzdGnLbbsYrTM5w0cTRL9aJFT9IortPNDPGeb8SSb1EtlsuUR3IzsYNjStSYsyt26Any+61LPghz
4zQC6uThtbKN5NnKYZk6rYWlq4f/ZXXhj9p3Dp1nt0cdR/FWBn2xc9jK7QMCovsonaLvkdF0t45V
8/yjGYoSLs3tkET0vi4JqI6MCM7G0gNsWih8d3qhosus6XbmZFQHsyNeImNffQP+3twDz2N/EQ2M
RgV5iyeHs2/nBWN3GIswfmOcoTc4TB7Sikdzp/hGqdKLOMEJhvlDHRHtJbnchO2CkFPdlbJiTmrC
95sxhXUfQbYwSTPD3ERi2gJq6z9zWYlxm40FRclZErxl0oKvVEmvP428QWCDTu25lWQLnDoHIUd0
+n0O5OfcGMxW5DyX45TbWJNUhJ+ntj1NhjVjnonR9JKEW2062eI6TN1qi5PYXktK6ld44q1dGmnv
vi/FFKyl1phMaXW4EjhJj5MBC3UTuK24hdLDPh2055VdR0+87e89Jz4PWj3je8Is6GPBDNxixh6X
4303x3DFr3MpRYpZrMl5qds1+ooaQaDez7Wtk69iwS1y+6RXIazkF0/0+j1tcn3nzRaFH8Lrs+tp
9vyDZ1HoXdOsYe+F7rDWi0zPr2zJbvOma2/zcsl/dAvm1G6ZABW+TVHYCqNfG9GS4Lov2JuGj2bu
rsukkOeuyMqNNAVF7lh04w8rjAQWME3Pu9L1jpR+cM2gN5+HOuxuiL+rxzLha9uBdDdsHtVOFjEZ
Q/IAeADn0rrBLTA+9T6z+dTlJNko+u5fZUTJa29aw7aCDbrCXdh9UBUT74rQ17TuRONjFFNXLYJe
7EhBcrphQd/ZBmDGAPxpviKPGy+dewOwUKYRyPTal1vYkOQJazoEt9KQLqGtXFXkji2f2O5oymRN
vJkUbm/QhtKXDE+bxFDDD9a3vU/KVGPZM0FvcjPpUbR7TpPP1jIIeOdFqQ/ZnFZvOm6RJ5RtFREG
3ayJ78qsEc80K9eM33l5V2e29WbRH3drUVD32WULQDN34L6tGn4PR8XtZucRj2cDN+v0OZcauroR
QP14bJquqg46lsG2ib2+2QaFnF+GpHEJSEpQ/WTiuS9ou7oD+mt5h0UgeY9dw9wOOaR8XAwaQLPt
kAimKqQ3Hs1uwvM6Ds6a86V5TAq/f7fIZK+MziwPlpvSH1knZ7vreppGF4urGNFZuNcV5saLavdJ
+lN/wDFuW9exhvy8tqs2a7dWZ83UD4rSNnY2Nlgy1GNZBc/UdVhi33Bq2qsuKpaRkZL3saHTBpje
ig0bbXYY8SkeymjF+tEIrW4CgmBfhQa4v0omO1L8MT97Sau0PaHgVOROM0nJFr7E4mT4IICf6Iqf
H6veHAjWawKCdFxoWgjnZMIyOBrw71El9r3tv2LGLsMte0oTIyiSOk+kVMArMN35mktn+wZ0cqa1
YkzdVR4TXuNqZjzhTA1oSp27NSMk9gZVD2985NL2hke+55ylKrNboOLOtyJTwVeUGeILnEdM0o27
r/KiuXHDBppQGwMsSMPYpjJbmTszTIrPzGiM6CAJiy+I5DYnWTXbGm0nLAHc0gNMT5XdWKAKvGYE
mdCmMAXYOAApxt8Qo0cUkrLYQDe9s+G5rkZk/3h013ZXY+AnAeGWq9TRfNy7LJnIPooSo3/HTSwj
Pg9Gbz/4g9i0udv7a6dt1IsdyWVUZkvCmdMVxVOOHOiuIxTLW1C0Bf+2JKi2poEjBmLch7l3km7p
vMcGYN1W0e+wzscJP6XBETWxL2xWDliM0xg23kdOXv2rV5rBy0yqSONQToy7Olg6wzuyStTf2N2E
baFnhE0L1R6ZxIvdQK1csY4mRR9MCWQGA0/WYw93kyB+c+TU7AHseTe09hFCsypsmLveV1SupoH7
zUP/MNhU42nwnCKn8IyZ5yXr8LLuTQ8sZiY9+65kyUJPVF9TO9fbxUNlgOMhISLbddJy9yDEFlP8
ZbZedWVmWGBXnSz5kJREzumULmvgHpFVYlxlJxuVlFWHbaS2ijr4fT74+DrhT+vXweOCxSsJumc1
+aolwqdDXrXv0clh5T0bKT+cENCGnClZFYn5FPgBRZVOH3jMCXlsn71uAOJM8jt7tzo1o1uk2jB3
U2wKgzSCA8s39FkiZ5Xi0sXb08P7EGvfNYmY6viFlVG3LyvLOyGI+Clge7vao9YWnzTKWECUpzDD
i0UUA9y433q3qYr7Z1jT2Vc5iiFfqSmiW3Bk0wSc2YCaxVtM0Xo38lbBfh7NlFC1Ac1BaojDJ9JK
3Oa1xeNn8szsI5pGao6UZUmL7uwghZMvTGo7utwtTVoVZVvtYyDX9nksBzWz1tP+t9ZV7ZfCs6Cj
5ilh8FVuIemt0t6f1nHioT1yF6DtOafaj9gLadH4XRM5PbPOQitNwyy4wTuF79nn+ckDO4txmZc8
/2F747QWNDhjXl4XlYlgA5ZBCjxFAy01ZaHpiaLK5dWjXGUz+1K98klqratW4MyNm7hTV42wBsDK
hs/6x7C7+BP+dpbstLW0PsMWo0uHY4nniq40pX6ZPWCWCOsZz7LqpbceOSadleGF497xsN4bVkdc
bmgELcgVac3lFmlQ2tJqGW/ngrbQrUUI4t4iE9/sAyajlitT2G0kTkZF2NWJrkdNiGrd9kDxwaKL
cTXmJfJXLkKsUDxV7YEVn96REBDqahpdnDwLFmCG6t+go6WtQEyC/r7A75MwuOlokUVl5mTjCuax
zIuyjHRBYBett68BQzOejjFi0VTzDceG7qJr8NssZIvS/DHkRvDQssJFecw8b+UYcEo3ggx4zse4
AJllFE1bbTsem1SG99K4j7lqBM+QyCdoJAPx4YBYEYeLORg7rvUOcHx4829kNZYW6tRKH1BxHYIA
lSs3yeinD3kRTAc2qMmwWyJHz02qmvM8DfFzViZM0lXQZHeFLF4aw462der7+RF8GYr7ws2IaWKM
NpQfVO8sdIzPOm2mp4yskrEhmsWu3+exO52XEgSq/IKivOEOqYMDbBW07HwIvzHMtR8iC8ovM1D6
dE3aq6Ox2khOhGHCAJbZ8opIT9iUmnkWD9XC+W4aEoNONNk7jaBwRtJxMLW76q4Tk6U2Rlnb2OD9
cT7gxo1pjhubB+L5fAKowkw3iRVbjy1Vyix4ZoLsOQFQfU6kojIHfSXezaM/JOvS6FCizKZjhRo5
yk4PAW9fCjDrwUa3JDid3SA25NNuns1hvmoW9/EBcrfNeibpaVdPSUsf+yl5TKTjkU4wp3dBm7dt
OCDMBE7LQM7F+I2FjOQmIK0XZjLtcrZlifcIpwPRoqbAbZW2UIhbEoZPzKL0Hoow8Y21YBVlMLZJ
+RWoaP2DagpmUbtFB1gHnSi/W10W5OvAzgrsrRqxX6oUSLVFiZ9T8qBnomy9cv+/ZfP6L73rfwFE
/j+0n7WwpLNK/df72Tv1idPje9tOf/a3//xr/7GbXdhbjnBw4/rgUzFr/EyeAoMkPIqnBawjFqjl
v/zd305c1bFwYbGH8MLAcqz/WM6a4m/LJpcrjc3czvvuv5Q8/dXX42EhYXEMHTdcZr/gF3eN27CH
U42SW7JqrxFcEFrvaPyMFWfCiJqYXyABoX/VVPa3P/2k7v6wCPy3SjHwp1Xf/Y///qvV7Ncv/Ys7
z8pMP89FRx0JpS2rOGGgS7L50OTRxyiZoX7/1azllfzFp4DLyrQDEgaYuR3L+sUzk0VDhhkWTMdA
zwXBlKinc8onDBpY+W7qAEDQVbHnNy23RaGCbegPPj3Qwt0MnnohD8Otbl6eoPkdG41rykLWtipc
xO/oq5SRxY+qT1cU+p5NQvPb33/3JCL+07ePIw8IEs52F9ys84vNwmqZSTy2njS99DhdbBtWGDdR
Vq2DM5H0namwaSZIILmt70KVpY9O5N5aejnQoRty4MqXfEaRRCh7NZzqKrGdvVXnH7HPEY6AcySZ
kK30yJ+1ypGc2xL5iUcAoFRg8vCZ5DGWlngyKkGah+6vA5vUDYcKt7j7qRbrDBjK4CYPjkvZ5TR+
MNis8jHZMrVt6Nzs13Ga35OBfWiKCWvo57TkadnUvelUz3t/IoXa26V/Xbchs4zZ5Ef46+qIIRcc
Z7cQwAJejIby4LSmvQcnFz95ubhnZAVBGfKVbTkUVxaXtHe62v19HWaa0EXfnrmIalpMK+GDRgzb
jWOqlOYJn/xGMUoafPJ4Bw9Ib0BLhieHeO9VEOTzygmz7m4cIofMUMeM19XBmy1oBIvZm9wGpCzJ
/DcQISvPQ/uJwi11adZH486U/6lenAbzPFrJeDOKeaEBBF23y+y83rmeNZ8quh7QMuY1uDVzR4FS
85mm2Wca195xxLfBvZ0jEZ7fvdE17aqekhNlwK9Et06SbCDQAspp+dW43dSiU/EXmixKD2MZZZui
7OQ1NOytVvWTX/D7/v0b0uIB9JePUwB/y+EjTDbHB4f+a8iC4hZTMgbQLFUUFRtx6FP0/MqetTKn
bbPHzmc/0bGsr+ZEGW9J5JosCZbpOEplfRX49hcYL+t5iKrzqFTwXdMh/mjnoth30EbXXriU9Np1
/hVghLr2dSR+XF7C/2o70f9/hxqpKJ4u//pQe3jP3rs+ea/+cqb98bd+ZrYIWeFdxTmESZaYBK6i
P440L/ybQ5Ro8eaRvAF0zEP955EGxHiJZfG+9SxHcNzxn/7uN7L/xpuJOJdr2yIATOz+V/xGgffr
e5PtPTl9rFVktzjTvF9MzLVotFEZfbcTJeigvREtM7lVuMznHXyrI29QpvZOD523Dy/TvOTzWG3o
y2CYbcOlcMqClmtRW7MbbW1feWhu6RpyGzcEnzZeADyXm0MGBl1dhdwn4Nlws8ilP/b7qbW5dwxD
w4IYbWpcq+ViotqxbbGOVN4xCflAb5UqSz4oU5a/ztTOjhsTfSLe4jQANcMSmS2XqKL4SgeD92FL
SYuTz01Jg6y/m3Nzvpb0YG3LZqYbmgrubSNV/jBgeP82WMJ4ny53LlFE3kdJb+kLqImYcs7L3ax0
aX/bxQ5XtkH4FIbhssVddbnONSOK7Z60ln7slqteern1ieUCOE1NtGnmSb/agcP9cKxEwzanawX6
xOUGeblN4p2hKbq43DK9y41z4DYcrYaWwRtcvN3clq0pc6iyKnxtLrdWHBQ89dPLbXZk6qDzxAG+
imrlvgZsmrlbjwkmRyeslu2mvUB/L/dkw1/uzAEkNo6JiivwkXh+u0YBVF+V6jMS8H3f0R6cF4s+
rNtyJ6kg/bB7lV/NYCnuiuWmnpim/hIqDA3LPZ+r/KhlRbHkzDrZbkZNKHtsnjkFkI4uCgCFeD6s
NoL1ZPZm5T4nF7mALVe8kXOYLtK2Uz+YXpxJ1qWdfh7GvrirGpncs5DO8PGjIh3whXR7e9Ensj+0
CiRJmo3Si4gRLHqG6puhPXnmaBpr2INIHsoAikejCkoI+ypEEfh3CCSm3yD4I8lX/M64La5KfIFP
2KNQK6PAm5qV6WRIOk3d9QuVdtFhwoskc1FnVDHqV2ak4ApZDok5vSg5w0XVAZkAybnDKxMuC9nK
3hOhX6SfMbObLQygRTetDergs1BddaVj3atuDGjW6txVmCd8VaPqaO8Lh3K+YzGP1ITKW3N8dvYh
XZQosDn9WQ/IgfuCWxzQDTOoXgGk5Gf/ImWZdet9g8fsb8yL1NUquz+lEQQ/yESIo61bjVu0Uu81
pO0swDyUmlzBlMHethmWXjUkRZRnNm2AlIha7OoWL5Co0SLWJD3Q4uqxjx+c2VpIoUkWvogxlV9J
SQYf3hA4pJMHKJRiEfgw4+fsW4KvakixdNX2CIm8N513bDCeuI3ZvXrb8qIbhouEKOGlTJucqPOp
HdBE4WNjUtzZi/To1kn3ATA0wA9z0Sbbi05p5bOyD/lkoV/GrEDgX4oBcSryWHmeAXGgd3J3R/tM
uCQMa+2B+lzrP/TRi1aKKW5kT6Idc4MZEjU1DMyFxhEFy8gn+olbKXFTUkq8Yd9rx0jfqf5AmbUW
kXZa5NpsEW4rPuGk2mhx+8Yeor7xF4lXCzE/J6GCnAQhj46/RRAOLtqwvujE8SIZG3NF5KrCkGyK
OrwKsAB+4R1FGKbE0kSXEsozhwlNImoqwJcGKNOtWDpV8NlZe7LwFUOVP3zLWkfvAVVITAdI3PTY
oXarzFTdubyo4DFleI88bNzyKQ8DXNmZEdxYF/Hc82V76uImf2HThbge9DSfsAgqja9yUd/RLMQP
gLJI8kHWIM9LGhnBtiHcC2HVn70tEfPzi7CP4SYPnp2L4K8u4r8ausnfO5elwOi4NDJjBGVZ0C57
A3/ZIASXZYK57BXKZcPgXJYN3WXvwAIipuPtYC87id5q1Hux7CnUsrGwlt2Fq13j0bksNJAU/GGR
G1l04F+0tmqah3c31LZ3SJedSJgbrEcGpJ6jWfXsTJbtSV/4sDXMegy2JoTC6tBGvZM+CqfUYNXB
1D9L1BCxUklQ7OgptY+5tljW5M7cEHwYhfkJZ86/xftgvxnGUN5Z4EHgp7DhK1gZpXfAWUseKFbs
ejhMxuotW7ZFVUEp9VotOyRUasKQKUiIrTHLEC7EUIz+U7zsnpArrZL9OFZT94/lVIczmMYlstQO
qk+PdTBilRXXfokdaVlwuQNlTVt3ju7UZQHmpxHLMNz7PLWcZUfWLduy0c6jAz4esbPKcCkkZasG
30efLYrzDrGCq4rVB/auGQzbZtnIRXmvXrupGxci8eKOcbC7Favlc0gbc+FXVy4w6luUyweFxWFj
e/JrHXNLZq9NF3jWB7Dy3IjKqpb+PfaRn3TIQY5DRlxjw4ccODTTxplS9o/cFUkmf8c189HHjrE3
06LeLLwm0JxdasK3g77xlfY0VmE1EB0cZW6Hd82qndE+ApjK7fXksKc+jg5G2ZVL6sTBmwYJhEXk
ZMt17Bdq3uk2QDDWSfBZ15LyRMvszeeE9RScQTxX7mFELdQ3M2+fz8jzMPWMA6OOk7AUQKfs6iun
z1DDQpEdWNgaWxrO8I8mmAyU7gFK84HoQFyk2ZHwodgmME4ecpcVnztExSYaQrwSQWr9oHC2f6Vn
p9voeeo+DDxkay6kTko6IsOJ5riRd+N7tUdYbqzMbV4Vc7YSbZWT3ctqw/jiYPaB1DoOab0OciWr
jSXTYb6RrE6tbckbhtAGHULoppTgsRFsY31sUsO+kUh5KVqdHdfb2lT2i8U9NDuGs919D5a7O4Dp
8ZJgLI5l2cFB5Ykw+Oz1RHA7z6xpMAS24fU4N+GVwPM90Wylko+SHveT27ZGvoqGpP9orB77Zh/W
0xu3xD7bYNGCmaKMYIZHHEMxYmMDjhfRAB/PMfYKwF+Ty8Uz56d8bUK2YkOc2z60TO2d8pItdWPR
pEa1qtU9M0RhESNfa33r5NS+qLpPTgU5NRDLVsBinENJ39D0tjgrw5a1iG+6kUkznJndKmpxqHD0
3B4fjJHMGzPvW+9qiNPyCNwdEKfiYccaEPwjo4svWT/DOOHpXpTzNb6x1FrDFA4gchbe/QhtBcAs
+aS1S23FMcA79pKNUmWHykzk/cBiuAaKZbXTVsH8VVcAHSds/GYUXwMaxlVCgQ/zixfKe4sw+kPU
QTxdRZbXt6t4mO2GZ6XF+2RwYSTndqEE27ls0wZjtBmw0y4sULe9d2N3PKtoUZHhpNDeyWPcfc5H
pmIeGQk7slTge9wGiROUX2M3q7+jpSCa5/3E4yIel+kog8iJUUD1xTuDQvQwDXqKrwK20WJVS/j9
fGzCuNzCm4GahHMGXwcP6AkTYZb0z3nkmNxrOaNvVT1F50oNw5aPQPu9BLv2MOZD0gE6CIv7ZNbG
F0uK8NkatLu3hjD8ruxBfJmMYDwHrmu8gghlbRLJbL4f60y98vxlXHBkT116GXS0iVbONK3GUgRH
gSXqK3hOJGLFGfPVcwTGRmdZtvMQEFkO9j7FfuJA8O3Wsd03BZOyyJ0j5nCmmA7YcnsImP5Pnj9w
Qa+HxD6mneUVOwnvFOZwwunGIjOR9JrYSZye5t7Lz65y0IOUs6wA0oy480aFQMmGaii/dfTUQnAd
FQgqWmXiZ+L9VE17yahbEx48PtE1714IRSk7FJb1mAiynTuP40BqqKpD4x2UkH+Y2F0GcDBminmP
CZUqvUYu4LqzcYRXBy/YBszgwWXhC5SDdxox21ybLn0hkXp3WbJ2U+xlu7FnE9vrwt/GuC2NvaZV
5mjzeeKNORtBecUardGQ0ZzBXnBSDKz47bBzB+6T4LyZT3k0Rfd5yExwVyjQN1S640W1rohpYDFP
SqB42zKI1dYScE7stU2jIzeVoqJuI8XyLqW8poqb8QiPrMJrZDalc0OksopOLtSc5DYYfeXdeoTJ
xkPWpf2C/qrue0pijasAplLzNBUA+PehnFx7R1tykh5dM0uxCMRNWx7cNpqmHf66qXsr50m8h2mW
e6tmouTmLfdieL2+jk3/Ki56OyKwkI4Am4ljs262WK6luD4mOEObmPKbN9sbup4NGqz9tST3y1rE
nUKgzbUcD3lgqpMzlSYOCMhVB3KI+b6Pe2YJmp/1Y1LhKzlOKT7/XdKyPqHFR8XZde3A41/TTFBj
Hs2tbofBdDA2fTx6e5zCIfi7ttZq12QBZxeEYT86VVJN0mLbaYlpxcmAI8qA6N+96pxxu5F6okt0
UcnZ4CXuXK68sQ+aUyUw3h8iioYmrJilnzxzSHndEYtcxZgjRmhMI/w1djlpN5Rf2Oo52YfJZ7i+
j1U/sVhp0mSVyIglrei84S6TYfiaMdyx6Z/6htQhLwfnQZtO88GMA384J1BnodgD3nDoovYhOFmt
9GhqaKmwLPPXMAMBu5LgTu6SvOFMdKLmzbA1KKxCzHdZFz9kg4Q2ABsZaEIRjoW1mu2BNbr2ANun
pL7PVg8Ai3eUEf2YU2a9o+lnLPmRGAZcREUyfZvi1raPHXFABlYxdNjE8Sgpk2Wr8mKKXCx3Ko+D
LQ0HvHrxoGLgJJsK09g5pkaR5HmHPreJgsn11jRvDx+dH6glsxIIuOheW+If4SpcHNKupaOiGwhr
d7Ed8/ugb9il7iA2byfPLqzrUFTUr/G3BXSRahDGhsqKsFrVZaIJ77QCdRYSzqfk0Z9utbS6L50J
W45VWdO+l+Dij2zrDFgtfkQxRNGpNfA6E446bSTFZi5d+5aiDGyYmNj3aUPrZsa6fSZMw4/DG732
zPuyf+InHx6cMAaB1deUYm/HuTs2otLvmBPj52lK+6+TjPtsj8PBOg226R8h1U7mWgVm8RrjY4CG
TXRHwDYnsLkZB7eBUYiBsrgJlaLshAxLGe4MXtgzxKvwHHgzEQaNzXlESAdIuGm47GOGjzy56cmg
EAfFXDtsQJHTrOXI0PtjY/B/TN1cvtC3+mep2/8duCm0Qfe3acnHlPqY8s+q5c+/8nMTF/wttAIq
2QiSL6DXf8iWQUBKUmALNInhX/79T9HSCoBT8S9C9CzTXfZ3/xAtfUKSAISROy9yJtu7v5O2fi6/
flfKZv51EQfOxbH5rhgjgLrA1XB/CTRztopqhE19cIYErFo7ktCr02sHiOnJ1yO+MGLbG2ch9dMR
oL+kYx6fYFQjMwlSYiY6CqLlEHzLks7cRDykHvAW6mNtNP017NDk3+zTlnXZP9Zp//n7XfZVf2pT
gnLp9WkwmYcwLcbD5OAfbzj/4DVEG9Ggolkw9q7hp0R/7KL/ZZsnkeJ/86V/WRw2nlM2nCzTIY27
dDWj5MB3l8GO7Fq9zZRRb+awMFbKpHYrt9xbvVhmUHDLTeiHLMAatz1Mc+USBaTajh29v/LJolLm
x7ap4afn2fq24Jy8jqCX0KFRU6HVVuLQQQRtoMYSuls649Go8GuwmWmKYHiheGUCui5HeVcnJV05
falIhIv4KucRusoLnW6LxipPZSjqa1eF6TUlvuNrosZ+YxpNfZWaXOmncpa7tum3ovo2DYk4sl3Z
G30GUTpMuNqNpvjijBQW+5iD94VdBORq4nSX4VDO2rAjqV5b6qVJXbFPKoOu+pr+JnQRKogStybJ
kn2hQfpWTeM9t8eWs2IzFsaL01Xhucf+epqy8Gs3W8Ye/965xdC/mRLPusrm+Losubs0MRSEYMqQ
GlW6t0c8LEPgv1NMPm8GVHEIHdmJyKqxsobpVovE3XX4hrcKKNCa3uT+1AyaoJyKmCyASdbRjOej
FYc2rkkW6hONCtEmbpsNRqCVhf+nziT6Z4QMZgu5Y31LiXRc0ng3W8O+zgJna40NxR56wphGv82W
F5Yw5BAgdltPvI1xS6lJPNKSg6A0Hdh23o8qtE98avDtq3M0hWx3A2vYNYl+0oNB2qbUjGGlQ72N
p1DKx+YgEoOYmB63FIiFoMT4nSR1ndyGirTFYNvFVZgs+1kqk7vAi45B5Yl9T57l6JAlXgcWbFpZ
A3MjE+wi2UMFHbQ9PxlaAmCMt0Y9DOshKY+z3UKC5baLDZd3s3axmAKAQy0NQhCvSGXnMU7EWlOA
vhdD+UES86nPmdmwi+ylDMAH05EuOHA8hHTAtgQQmF5WlFSTVuixeFLnvK58gKyUcpHXoLV9DCOM
a6FLijbwl8LHvec+V1VHp7aNUJi4oEy5hWXUbJAYioqMVaxk/ewH2Z5814NZCXE2SL1y8rLLoDoH
UHLT++epbvJHkkPGhkK6vR6dR3iV3HgDjW2PJMgqV9mNF2hoStAxN0Tm+nVPuGqDTX1vjO3epYll
63iwOS08oi6t2LGbH8lJPaQBKx056adep2e3ofOoT24Ghiz6C3HU+8NWd89zIW99iW/XF+ohQfrg
ApanOxLx20qo9zxF2fbi9pq02WYqqyeIpltLhzuZlN9gQ257Rq1N4aOwMqEka6rbbsLJI8A+E4/M
JGGFkGSxeav9+JRFlXVdetKwqNuY/F0ceVW9qu26+2BpRTctO+hHjdWzY339YDB+7KIUTlcVDpqt
TaxXosK+w+3fDt+Tgryv4GUdIVPiyy/IcEHgxjUVyQYhe+rx3ScMZ8CJUPUaErRWbpFoB/K1acvc
vQ8iK6KdEVhrJqQ6FEacLJTpFrlBfCnZzi4OpfE8YXl+asOAhwXc15VNM8+eZUt3AOyVctWsfHFF
kk0cQ6naBxkRhx8V7X1pTaSUFQB/EC1zzaUdz3jRCtZl0W0zTafWsqet6+VPU5X13KPwv3u5gwV0
TrZt45NAxr1JJyN+CTBJ7Y1FQSamdy4iPZZVQln4ELIcH0LYdekx9gncZUYraPBK060vhoiHXee+
lKyE/GjmeZdxR54DNIiRWiNWmPOhHeFMGWb9w4+rA4JXv3c9SBXGkOeHLkxfbaN1tk4a3dOUVMHu
j4yd7lhtcWcftqORmUckpepmbt2HP+1Uf04Af7a/sCP99QDFzmG5ps88yRDxy5LSNJzENPLlBhXW
93VKIqfMuMYT8zr//guZf6XFXI7qv3ylX0aLvNdVIsiZHIZYQdWNwu/m3JFfQdomA+F9eBbpZe0C
rg2XJ29DTeLm99+C/deN7B/fAiYnUDo4WyAe/WK+CeqK3oVuNg88rRimhWOxy1Idtsal1cxoQdml
0swfMQL3hxzf6A312XqVIMOdRRbJczgiC1FH/OKBu7nHVhJucq6X0Idgcd+4tIcfcnKWm2wo4gNK
Y3WwtO62YDd5CBL9b6UIDlgsf0DohYuCk2NdtuU934exxeD8/vvX+89+t39+ub+YdWiqBeCNCEoZ
Zhc9wFtHq2XRtsGhPa9//6X+6qL6+ZP1KRoX/IM+rF/QGubItbJH96Bh1f/RI/ivJtd5s3FxbVq3
efn9F/tPNFR+g0BD/vHVFtDHn6Y+I6VyVteZdaDRjW5P1/5qk/E/ZmP8aaYtXGUv7+8QhxPgytZ8
6A2c2FbeuGRZ4/46zICk85vcIHHsC0/qXdap/qSihQSssQmlKb/C3B3FJukzd2NN9BqKLKlIvbd6
8Vryf6tp1els40ovQ4lcxhOHOeX3r3N5Gb8Mt0z8poe1JQh4ucvb+U8vk6SbJwzOkYMnyTblXiTW
pU0SvQw94y4dDDKXShb5v/lV/rMP6l++7C8ztdVDyBc1hGLDcflotO6nn9NzN7Y0zuBLNk7VpG8i
DPx3xTLlYDXI/80H9Z9+CzyUgMtQWx84v7ajFMLUXVOm9EemhJo7jkT6rq7xdERrwsDGqmg8OCGC
edP23njqy93vf/L/5O0MIOAfX/+XT44awaOYVewc+kK92V2qb/oqsk/l/2TvzJbjRrI0/Sr1AiiD
Y8fNmE3sJINBUiIlSjcwURKxOBbHvjz9fB6q7hYpDWnVF202ZnNRWZmpJAMBONzP+c+/1B4L24jf
YTHpTuH1c/YCE2MTE2sc/v/lc07G1Gi6CuWoa7fZUYwY6Kct2sa3v9NfdgPu5399yqvv1NqmPeQE
vxyKbhKrkS+4akuHhDrcZ//9T9JfxbSAirX368vvA8Tcl8vimYclGmFnBOJz7oUXnDPvfKO/LpPf
P+jVPkD/0XdQAB1OE+X/TMfuJrN8Zx+CZqAz6e2PMu4YDMe6PEZXQyugOvWODeVfWmbHJMqcV9SE
V0Tv/vLbRsmEMUIa2Qe4N+qwjM1wryxHXKTMQg8Ku59KhXITD7GPI/tM+RaTJMlcA91ZYXwz/FRu
FRzGWlcX5ZWMi89eY+e3IrU+ZQ0Eobefjf3nYnNM3C/CAFCCK3ZfLQNDoG0ploZLi/urckboIBIz
3WPsb649Y7meQm/aqt489G2CQmhMiQInQ2KXTpLy3S0JucBTftMM5QVlarTNKsG4i56mNXANool4
VmqML8xahy3YzpXwhxrREq4rjEvJEjOImFNLRW2lono15D9xshOreawL7I8H59i27a8S538Mg/od
gvpf/w/RxjFE0wE//3eG3f23Is3/cfr2o38BVv36sX+BVeY/MVaFvWbhrstO/Btt3PunJVjxkC8B
xH6x7/6DNm7/0wnNEFoPzuCcXS4H1784diBcviYOw33GGYjEI+/fgav0Wv2vjRN7zNAGSeMvLp/G
dvPq1WtqO+i9ifB05g+3BKfCfDPqr4Vjx1h44WrayUuHMQVLGaun3+7U7a8P+b1ufvka+fBN+RIm
EFnoCjj1pv7z38/mqLUKORrdtomoH3HSKI85NsjvVAAQ/V99xYC9xXNBC/FGh7fovdri4FmZ2Qjq
vBW5gXmCNnMwumReN7QHq673Oyg8GVGWzG/2vTJTpO/C/M7kId6GCu3yNukcDARDzLdOgwurelom
9wrCC1Y2bmpf1g1QeNq04TUpMMGmb2Z88yL0cPMhMtUmoj+6o/x15bVifk5l5d3bEH3WWNryC/0F
L4eFCdiNUwmie3qvvWaSK2GggwNULqHxuWerbuXmrX3ynQXogmRI8mJxZbnDYdUi1bo17v3FmdZe
UIU3o41O00fAcB1LzSBDVv6QpRDOax/XFvxpcPLKvX4Pwu5ehVBm9i4b7cWiDTTXU2MYTIqxYpAH
x0fh5ru1124aI+3HC5TIlX1VM9bEVR3/5j2RSNC1DIhMaya0wdcgcjIkxpayPsBkitW6LUL2tc7g
rrXgfPOQtccubgzICnTldyizh59FNJtfIBa1kARco5zXmCHxoyGJ1o/YoyQSSfFYfCzt9jPuYi6u
G4Qxh1Z3FZTOVViW6hBnTXsYmiDdZ7Xx1evN8NrsnYnAjh7vqbxve0j9pNpiv5XBF4MDPk2nHq4U
D4u47iGYMCJLMMS0gpi+NauD6liSSXCR5BOEniEZ72O7yvYQTyBIY26OfAvC5tLzuFshzW85ANHW
K1UbrUO/mPbSCG8KEMQjZNN4JwE5r22cH+myQdVgliNLNtrgIFCJbjXS7ZKL04vjjNuUWqMO9NfY
80Rqh3M6j78plh0gk0PfHOAbZljhbnDwsfe6vv3sxSL4rPUX1ypTrOnYvQpEjWJZr3PSAfM1Q2rn
2p6b8H7wsAJNir7bULu0WxulPXydkKoew3yaNDqbeyKn85CYlUZ+xNo9FJtB29LjEBPqAGiJzQlG
VYwdv2ZBb4udwnTH5BabZb2R7YAHciJGF7/Qhej1lT1azrADn1hOQenbTyUZLR9Mu2Qo52ddvp81
VXy0I/8nDm/NR39swwfN8aRE1FxzNHHTMe0L596WmGVvpmqq/ZOToC7eltOAc3A0uBFGT4ZR7+mw
sAEdzRSviUnWeER1Mh6f1Dyl/WrILIDPRjTiaxC0JG+R6LVmXwqoGRYve2qnJr8lmUaSp9Tn921q
ufia1BdtCbEmyMfnRQ+fsXAad7K0MYGrNMd/arPDHLvpdS375GJpqOJFpKCcxrU9nLwwUVemmzJh
6ifRPXijFX7PIju6IOp92RguE7GyHfHiiNvCPUizzupNKtr2ehENMYOo0z9j1ouKpR/FyawW91u0
DOUO+6P0mdAJ/MoZNCD0HYKP1RiKb0W8eLeix8gqIkN+NU9B+wCtodrnQ2seSfcsHpPMrT+h67cf
MGR1LpIWGqhiohVtCFbDc6/vCf9WbZsjGCoJ7FkTKCCa71DayvgqsRvypYosD5wHizhlEof4ycdm
wZ4NZsBzFNk4OTjokJatAKJeDtZoLGg10wzXdA/tO3G22CIy4A02Wd9M5jo2a6bw7jR7+EkYCDqm
jLxfVto0r8oIBT2y0zA1Nwa68y1x2w0eZbKCb0m8PApO2yZVqce4JDx2ai4uFxst4652JFP7AENY
bMIC8dU13BCC2TJc1KYffW5tq8EO2hhGVNUlncM2igZemyE1om+JRwLrKurC8QqTmvFTn5WdfxEx
ZI8YesrlDus4bdhmAypFcTp9K7NJnbomaa3LpAjC7WDMX+bRKIEgY25MOeTGxxKM7SchV8NFS9m2
HX1r6Ldm34PWzMPc1RuPOvCRxb/E22IZMPeD/4MTBjgbVOrerWEP1uPgjevCr7X2GIUPJKdRiS+T
GmzNopGCKDWzdFYIwrsvRjm2ztaXyvmMcYb5WKc4I5r1Yn1P+87CVWHBEblbmp2JQ+DNCOH0R0uY
1MmspzDb2y42eNh1LRFa2iWq9nMMjWHNf5ZeQaiEWRYr376PZh1cNjq89KvK6Wp4Hg0XUMhFQrtP
Fsh3o0Dmvoolzo0r2Uql2DMd9gu8kQgmreRcdlDu3J70Us9epl0A3cfYF5BCaDT0uYMIrPrE0RPF
mxk+Wr+upkE9yLRbrmSThTseGbLtLOjwEMR8t1YRBx5U0XBl1n53OVQDyp4cGwTyWquivGVCTbCL
w+ugDOljZDK7t0hViV4LC/xCswHzGCbXzRqFVHks5gYuD1ykqwJ0dZ9ICFArZAokjDP8w3cyJC3k
g0FQigf3bWmNlYOJon7R8ZdcusbaxsSW/sAEj3Xbz7jvIQgN2+eGUCfYaBLiHIYoiIGJWI3XISSw
x8IZnA2uUd2dIau93XnTbTKK8MMix/iTwP9uVVmzvyZjEra4SkCFnbJwCa4Nm2ObxMlNi4N4y+00
nIe8qofvA/lcvDNp42OHGM8TvQpenmsiNs2VjVPgdbAkZJ1gmdEMHMh93e4dsyLX2LeS+2HCJQ7z
An44cWp5sgjBg2Wf2ydnEh4GS76Rfpi6DmW805lXBKJsF0ZLCGMhJEALWRFpLHAewJ7UjMsNZfJ3
ZyCujIn+jZxjc1XMEe4KmeLz+EFvN0SFf9lVY7Vf8IRcF0rhDqnsUfN5y+AWJyCk/V4r7GIj0VqC
yHuqukKGG+A95YwQG1hU1EEUQs/FkCwn9IBEpgWpsXzwrMyDlGenTgbniwtCkVaggLPA0EEL+uYn
cHbQ7Z0g7b73ATZLu6IbICAMjVIHHykGxs7lYK0I40uZ/WA/4bK1umW7wnQrGi/K1FP86hjocyXx
noPsO+NEM3dLvx5ypw0o+VzOQ9Wn/efOba3PI3L3LfFaMF50qeKtOk8bXtB2Ouk2q03vO8YR/p3T
ROMnsWiLBXIz5WUc2MrGsZbqa9u0JrZ8DNGmrUDnicvhHOK+1arlJDEnPDSl7/wiTpiWld3YsRc8
Tq1sGDqJHqaqJGxTXURT6uB3WHhcyaCFpGtNS2Yk48rmZygt/AeHxSqQeY/Z/NHFaB1ObTvBZCtn
5qcHE6+6Y28QdrmdwQqOSVYoQMyYj4HCj8cSzwUqeIRzJxQUz2ETSxkxtscGsfl4UxYOAfcNNOJy
nUO6WrZkx83RTWxOQbnJYsFTV/PCDcokY+qNpCB2d+6cWB8Hck0NkEcfM5FssKzhMvTqIdgJISk6
qjy87Aef2WpSmBMVMAjgijhBeUkuPb4VIb3XPb6e1mcctjxod2E2XAqnsfEjTFC8selg3sRW8YBg
ZiivJg8JxIrwn5rBwoQMahOgrqBkVRPC/DI3vgUEQUybyFjgF5J81cgt4XdtCm04aIddZ3poNXgm
YXOZzFH0Occz71ODd1eKvA4n9Au3o/XPq6aHdFUbP02RRcxbxNmcwAAwmOCsrCtSyh9RKmBECHuo
+8zTVteOWLIcYpbNsJTN/BC1uXVFfAjaEDfqjgSW4IfgRprJwlffzlxEj9bAmU5qwH934ycxudwZ
5VG/UWHt3nemVeNl8HbX9wpx+tX2EWyCsJV+WEf4vmz70IF0fZ46eBTgzgTVOH4q0/Ijo75HOyw+
Wm7JweozFaDI/NrioHD39uefO9rfO17ddoaW7gVN+k73dYDV3C6DNS4OJhMxrOd+6ElT9Q3bCA5O
spCjJAdVWIy+y+RHycFhbayxzhGxQHR/FNPs4phV9kdPFd0Hmfrhtf4yaw9myckY1fyIYkrhQw9V
D6vUzO9uYRJW0S9w9f/jMe/k1GlrevG25vF/lz++Fd/Kf3wrf/zjREDm07fmHxdtzj+2v0M0//mb
foE0of1PIlJMEkLAcH3BWfEfQsiQfGi4ntidh6hjXQiG/ymEFPY/+TfaXZ3W2Ac7YSn/C6RB9e+i
qg3xA3GJJuf3/jsgjXg5xtDCR+FzIONhAErjBvy2F1BJ2yLsqNKp2Scje3DmFk+lCuQW0na7SgAY
dmCPz+C0ikwN+USAIxNAjmpOC07mtOLUC8p2E2HPtY7G9NNQAaK+/Vq9fq31JQaAUaELXIX+EzOD
F5cITcQ1hYybfVCQq0TZT/GT0IfOSXgc6vobru0nr+03bWy1K+nh1PnfugCibixulU+axMsLwFBQ
BRAhidDQkcRUk+jjRM6JlUbbRGdJ9vh2IlNjTIWZyAqCYPvOJeid67ed5XwLiB1DMIszgRnokPHf
Aa3WwT8zL/J63/QxbY7w7/sEu8/6Pcn2K97UeTkEBKnwMeB37GWvviqFedvNc1XvywqoCc5uuPM7
9VhhD7bD/Chdz/idATTBJBvGEaQpMsujMVl3LjyzYxGBXdgYxnxrM3fcNpNlfrAlrAj9XuxDd2og
TVbzvilIKDcU01vJ2c30XynssYZuy/QVz5XeuoX5m7P+uJFz7X0hrOzCbIBEnLQmFrUkqxkuwLxv
3SW5nqMHPARZrQXJcCJwd6hOpxOFyLOwF7lth/ypNGgL8yYivjT8CXvmAwbgn99eJC+5bvrG8UpA
cOX8wcYDBPLlE/KXkoYnBb1y7QhrvGn+kkUk4Tgo6iL8CBHLwAfy6yF8Zxj2+tDhg4mqR3yJGp4w
GraRlx9cqNBXLbyMfdAmkIuhZ11g0d4dLKCyTYxn3Sb1l2FdNZZ7RdehdmULmuMHJQ80n6xtnsQ7
QltDQil5p4A55SaMIKNB5J73eYYFhqZLosOl8dy+fc9eGwToa/fgUoYYBRCh5L+OIzP70MGpNMn3
yFXKDQicewUop9b2EH6AG1RtpQ+U00VdcVJTACVZXGhKI9nm7SoqPCjkegNypl3lHj3fw9G9hfkC
nNRusA2GSILmaA196vvb1/3nsyYxEgAfrifIO8KIl7ec6tig/uWyR6PBUsdhUwjQSP660Y2nwnXd
d8SrO7n1bw0j9Srjkx0NboOM/Vlh9BbNQE8awz4aWrVGhwKNC3Hw5u3v9wo+P3+KDnBiBMWXY8N5
+f3KHAAYv6t8n8x+ufebWl6S0P709ocErxOKzh+Db7wF+V4wRbZebWpV0fhYBA9061b+DJe/ISKq
BfBG/I0XmcNLHhojZ8tASn0pFkbrbv4sYme5Uxhxu2WfcO7M4Vo4Q7gumDxvkyU2D3nLIpfZaCES
NVKcGIN7wyN8mMDSE57OzUUKoXqD02O2Gkg03xn22GEWaFrboHL3JiHua1dM1jrFrhvjK/6zNnHF
EaIvCa4Q1Xk9+HmnDoBYFrxJiF8LVlifEstAvAgM1zTclb1RrpJQOTsLTRYaOER5CqJS1GVPxZI+
uZl9h0oluowU/qaOnT0TiF4d2j4BXgjLgzGFJmR8M9zlIHJNHAWrvmLPhZIHfDbQ7Z+R2DJurfWg
cqTHrEFHxg8QgJfdkIf35MiyAjvJddt3ZRqCiyeDtbWt7lGUvO2j3r3JAmk/q8ltkUQ2wWbC6X8t
HT4sDzPnmzCRgzeWD7NtTJ9aZJwbHAZITvbyeg2M+bVsrGwdY2/wgTw7ioeUMYa3eMbWz7NnkfCl
z4VwUXC9cdd9IMvspyc5PUd4kPE4wmQM2LjHXrVbyQFCtsICmtIYj76p2o0TYTSM83GAq4sdrXvC
GXbsZeUe0dETlGDw7tpLCd7mBM5neGOFUxzdXH3MRHhfayU5VLRuI6Mg2VP82BwsCGZzm0dTts0H
L0XQWqj+hgJjH/nlU2O2UF1Bw1eGTwZUOPE0i1lD33XmrYPc29V1/lyGjQVTeACvGsgll89oPsP9
hCR0Ezt80XYssLuzryMQ6nVQDsEG06GTjCprLWrOAGk7cmP12NREinWO0NrYzvinraXgo+ZBPhux
wYrlyc5+/AxAzh+ZtftpkHjvlHEAedYpUEhG8TMGs4SxJ1qJlI7Bxkiq40Ts/AoYGynjUjyRn5Df
9KFgejwYwUcYhTu8dJ+YGlaHZDabK4/Ua7PL+Y6Up0cv66mt9IOhMji1XtNt8ZDgn/TanUER6UZD
7B0JnwchSp+CiJrRje07O8jDfTfnT4E5oApmhQt4PbTdrCWGfSz8ctph411uRYGWR3fGIYVMgoDs
1ytQsMKEsO/armFwMFB8woddrktMOuC76WrD4PdVhbJXQcIKsgWPvzV5XVRfwQC2huQ4mhC1xBiR
1BKwaJG1PZ0vnMulioH1gPcsZxo0Adx+XAYc6P3DXd+Z7NcKMmfuJ+q6CsN6C4BgYVsdyu1S+xfC
Ow8zQN5SojjW2TQcgZEgiUvQ4qmLSkj1+bPR6g3Ld/kZvgdLl4w+/YAL072z8vqxQj688qbsufa4
arR7T+ftovflczdxjAUDO0GZxXxA6xHbnnOCKIw/Vg2zHIIJuIk0A9RDC/UUVbK/GiCP0ZJmxxw3
6A1+GMGGjUpuvUU9ulZ1PJ9OockqNmPuADnI0SWpL8+oB6NbIhB2RLPJdeoRBdq0pdq5E1lIc/ij
xI1zZVus3JKia0W3/IAYnS3P4PcO7LXSq3hIaBMbP3/qqK/0djaT8aWnf6fzptS7bC9Yzj5mE9eW
4kBqMZk41DlhAb4eHQpeFS/InmYjzdaB3WCrOfBwz91EogsWL7UN5rcs1so/nb8hyPWzfiUwi7zT
RwHxVHed4sLOz0BZ4Skl0xl2LECMHI9BnLlrUeplQ3YCqlGCVyvRPBKGII5ukz1LFeew/1gqDfDl
r50ucNhM8E69r2aXHdVbDHIXw/GmxXd1i89kuMp4MyF9LvwU9vyHXLbRZaefDp6SgCBLheV6iWdm
xns4qWW6PO/EDHQoxLw4x8ObSRtnPC76S4DtErPCFT/hcSXBhG6PPw1aHgBIHn7AFRNBHGdgwIem
3ARaUwT7iRGmyR07nyu25KJaXTxLz70TTbQltmDe2xH4vkT7v9YrbFrYjAkNvSOxT4G38ajGikXX
hGw88LVYpqhx1+g+y70dUlDop4v/CPbCvOF+wq5PF1Tu65hfWA90Bef9N9e7Y1QnJWa+wl4ZeKMf
6qztGDWkT0iMbSzbWNVuzwvkL/LoeVy1hTwfgYWQm3M53KMN3fZjI6+NKJ8fzKTGuqzg7bbJVMeL
RT6d1wqSwacsSJ7LZbqPTKY+ZDzBUBm41fq0iUL2RaT5AUPxTl5Pvic3nuGRbjygkXM6jPNdi2ld
r8p6h28+almvSU9jyl2Fj0p97vq7rK6TQ64qDjxGJyd2yfoqdZLuwhlxqGhdxo6TnWApIZZwJ3vM
EqoqZN5T4xpateM8rgjEQaOglvgp8ScCHGzhpLtBqGHVBSkSVB8DzXRKn5HZP0ZN2e0mOqvvRiiX
jzYJS1fIkKdNrLqPWVnHe/qcdGNFQjzCtkTFUswlFbGNkSVBPkyoFvMQ5zWyWNokAst1aaCG6qJx
E59hXaEdS2bigUYdpYMHzUWgGziZUCfXS3OyReLsfND2SzOMn3ojnzaZj0QaCpJNjjxJbJLJw9XS
8Dqpks1et3kMJ+UmEbDdOd7bncvE+RAaRX1K3VzC9idZZqxyjPmdwlwDfFerKSega1CYeiUFDsOQ
H9BmW83PbKFg61DJrURd5oRBoWeBH3bRhfVjzshkxVx6WQ22N14PNj7+EluAvRJNRlamE/Hx2P2Q
6RFpozZ+90LKUSpEv2t69zLHVSTO4/En8vXkUNRBtBmniNAZC3cYH6P8eP6OuTBdpIA4mhj4cVQB
7r1G3YEhW4xiMlmm+MCZSLadyjLp4VL09im0yyzJ1nY7moB8zobi+dZAhgVFkDLRRAQyI1MMYp5p
nFwjTLhKySXVs5sHYY6XjQdcHKSFYis3fiqPxeePlkRKICz8eY1vJOkyv6xxQO8W547plrXK4Mo3
hi03JXFteNf3UCYIyzvUKf5J7UTIXKA7n0UyIDCZ/LDZps9iqsJdooMaRMROU5XJ/GB3Tq2f8LIe
c04gp/Si5xHj9TX+ovkndLTOlbOYj2cnQEO0j4TIUVLJuiFaJ3TY3kiTxU+/28uKIjiZ6mU3Siom
kx5OrjISjzC85f12DHm0Tc65mM3BFG63NXDCh/+CA9S5o0czxHZg85oGikKmNMWdPQXEEJTMk5qC
dVvpJUrDvHfG8Skc+mAvy+EuCVgxUUgIm1GSDLNwFOjrHALzToA+7FtP0BZyWq9CyuxeJE/SrR5N
SUTW4Jp37UIsEtZArNCknS6FSKpVavog0n58i333Uc2M8FuSSs2BzJfWtJqH3pBfMs60GKvA2prD
y7FhU7PGTF5nI1cTUFWt2rCjutbb6YL29Fr2nHhD0Knd6Ab3diqfmB8fKTCm28WfGqpA+1o11DVM
9/DLTj36Rsg7nTViUTgVH2GnbAcrWXadlfNd8YA9OWOW3Jo4Y31JTe59SZm8FdK/yB1WmMpZDdhH
VBRY3FMMhbjPjh8Qk1CibjXS8b6oDQzuG5abpcGrNEYjQrLSeg7Y16KWOgfOzHQyDNvqV16oN2lt
74g7GbV32yENGakxrWXATTzNiHVqqkMei31k9u0FE5Tn0kieY077puEcwpnpFNtc5/lEZwpJnh/l
Tq3XaswyOUUOXJWYmoDm2tpm9mxsDS6YaR1nZjlXYOK6a8GUaFrBv5KbPm4eK8bX62Hsx5sY2wg0
yiYPmzzFPfq76HIGmdSpiNON9Dr5ocZyaV2YYmvEJq5HgP67nI6e8APWJHTe8pgONmWUgxsmhtri
GCs+JrdYw8SMLF8L209+NOkUrkEtBhAQIuDDqmfUarCaQsYr3/Kx5bc0xbO2j3kqGOEcc0698+qn
3yRAMUsvaVafASH4Vrn3ISDtyAutO0LGaPUiTq5MGT81UOU6S33o43C4dmueyCz1GRizPvsK/0OC
bfSmEKs76GAFh1mo1vB1s7VlJidGv1qcZctt4Vt4jrvdpUFIFDuuupqthXFXzcfPeUC9yrhzlRrW
jZ7HAptgbWkwAd6gGQx3rHaOuJ5HNJTO3fnsDSfe08SJ7t9u/N2/wQtgjChpUdeYpveKUT1kgz/E
2Sz3ZI/QiNsAtm7XPdYKUDAzYSQthpB8C55yt8BSSqyiZ6tRn9z6c1CrezNIBe8wja4uM3rfNLae
79/LIb41rWnBW8E3DgjaepyuTQwnx+HWw9N5YwUdBXAXP5yBzHOPRGbkj7QrkmdvIsPc7bw7Zntk
8RqdOFrePF16aiqOmudHU6KLUp8eiMCElH5JohDqXGovwxS/mrBe2MGHnqm8ETVXZVuHayfWVWCS
VgjebNxJ4yC6kEJM/z5EzkQAfRDiYw9UwH6FSDF+S4qYN4UgE1qOwB+jy7YHkfAsii5UXp9SDaXy
/Tj/e143MVI0vv1Y/wKKBSHDDNz2IOCB574EjXDVrd3Ukv0+8wk7IPgiOeAIxink1ZhuGBlhAd5g
Mq1O7XfgKmHxq1+i4zBaMQV3cJp0LLCklx/Nm41Xqwz7fVAzD3bZ1ElMNcSHdPSKjbMo9bVHILSN
zIWpvpvdVkMxfAyVtZ/tSTy+fRs03PrqWngCvvBt/MFY3q9w4N7qyb6pRrl39CagAQNsuSih2wk2
qktsUczu+vZH6q/36iPBRzGNYDxhil9a6N/YrnaJvXADKLVvIzvY5jWhkXXM34m8up/aZiABzRg3
5dhgyBAPxeHtT//L28ycgAuAtH4eZb28+QU31e5w0tzXAcWYBNBZlzQU76zwv9xWUGYLQqD2/vxj
TMVpaiGMJ658EcxE+wU+XJNNX425PbVh/mXuGEC//b3E376Ydi4NwLcF6L5edb/dVnIDYsqSooOK
mrVXyMXgBHVOc8GWAJQzBveQGlEdmaBnlhc/FVM+74dJKEKb6n7N2P3Hkn96+5q0NuP1k2aO6MGo
htv8x+KCs9mkoal4x2T2tVLu/PNX8SthF1b5VJ/e/jg9ZXz1eS66F98B9dcR0K/1h73lG15UynYf
pP6pgTm+KQ0SoCoCBkhF5wAWg/fNybMHZRYXuek/NCmJ4kM6XveW/NEFY75a3HR5R9Shp7J/XFZo
uS5LnVfbe80st8l0mWN8/vZFOIDT5BTPXs1WA1WUI9OyLvqqPiaAZJ9xM1K7tuIRGUkBpGtUj6KZ
AKao49ApWRjHVCWUWc8+jaIj9CjLvnvtAZYaMTkOJQgMPbu175CrP/dxAk8z7jOctGNSsEBqfByb
cfJjtqSnjhBJEVKbebZ2ii5DBKx7a9O0VoSvoJ+IDAgwGsrSY7vzwZYtZnPx9iOz/rw3epKMdYXt
4aNLovbLVYvJ49TRGKp9HNEuzC7Rq34Xo+QcCSFUcPzwRsQIc+oK2JMD+Tb6awKtktpG+Ooc+EC1
cEHXBF/DZDF7Y+uaTIkGXTcvJA/uWrig10AScoVrnIUJ3rv72VmU83KZ++jDLA8pqMdQ2tTf8bc3
DyyDfb6h2KQohTYSBsYGTA2XFB8/MwtRTOIVR6jNzVZkPvz+PN01o6ne2Vb/XPx4esCvsywm9yae
6i+vAqWtrchlqvcYoFxaIzfGYiWk5eC980HWnzsNo0O0dEh80Sr5r3capiBRTQYP7mJ4zmYZdY+Y
5bKDZlg+50sLwuGDSqUaXcZQsVoRncHFEBO6RlURb0aVPBHB85RiB3T0C/o92ITP3F+5rXTPWNK8
g28f0egDnGKBeTAiepe3F97fHhoDPAagLtwj94/JcUnnasFnVPukLfASzR3o++UE57yl6sQpod7a
Y/9D90uzBH7q6+R5LoJ3dqw/N0gfWgTzRNuCYfjHMUG4WusrIdTedKqfdjjXa24DH5Y3FsTX9z7N
eqma1uM4xA6YADD3hfMDr/nlErEr0WF5ZCnml6Mm41fzRo8ll9aCcyliFwCXghrBPEdE4MQ3xVI9
VlMlr72C4t4x4ycViPk6d+rlMNB4r6Qj6cyh2+Kg0A7XmT3evP2Y/jxHuWI0PhTEHjv6ayJB404+
fD5eLUIK0ZW1WMEZJOhivEH/BJRNEoCZvzO0/EvBz6exIhB1m2zbr9+knNJhrGqLqMUMYLOubIdG
fII1XzkTRhsdeGpcFnS0/QVaIO8KTdHdGTMEb8e82qpMvI6BECIGRZtODpB3XVtcAq2IXU01q2xa
zMSj7YZf/IhLN2i6xkRKQeNkMX7edb7ezVIXvFaPXxyrT+8g8rM6Kzs5OAu6xFhi3IBS8CGvrWUl
DIZ6ilzhFaZsapf4upiPRgQtekKJ58/dOQXhPNuocliezNy+607YSzs+bjKZUERfbYNUQKXakaQY
luHbj/Kv24ZHHJvg5mJn95ruhpcWHlEO20Y8d8ktgmRAAdqXneU63QpgGa6kQ5ObhtYTsDlotsuD
Lsea7GASYbel14yXPuKNX3t9YY2MRmc0BdAvlbvpOuvLebTpKBHC+Smay4Jx94lIz/fmzX8WsAH7
K8UrjBOUYu6r/b6JHUawjd/uS5/DuJ/QpcNG55VwkuEqbkIsoeGxfnGCyN/Y/iDfOTO1q/yreiKw
HARvcF7gGonXFIowmGQ4TmW1N3OmaJXVTLfQtzuCBUHC8fV1PpXKLdapncgLwrxMrDE4ISdSmdiU
+TtXIlHpTR9DxYVlytnFRAmjWcj3zlcTLzw5V48GThLr8/wBaEOgrGB4nW2TKGkeXaWnAS4gewYo
uTcLjfFNGs5dVHrX1KPzyczdjTLDYzNAnXW9xd0RHgRqH4fP/I+hR26YP502y/d4pM976TNufGe5
/VlZBDBJRSBCkkVM19N38bdTGeM5WWY6MLVmSHEeEBSOHgkLJkKKDOXt0uUjjPzlYjKliXcZFQPG
wQwPFE7DjGEWs4c41eCcyml9l+v9rfbuHRIjmYurLyUTfcwFmUX4ZjHv3776P/e9wPKoKHjvTdrU
1y1ij8amLQBe9kbg7EXEfFFvFXKmKz6jUXlUvLPr/VE8E4bAPmDTlDlUMpwUL+8X3ijR3Eg6QaBt
tZqxuUFizHF8nsW058fbMxQa2F9gckAaIT2UOWeHNY+Ndnrb1DB8Xcgs2lj0vc3j9UF5vjiXupb3
TbOG9J//9jA9QocJ4izlPk1qG2iQa0ADwxSA55Tru/L27f/Lx+lXHKaSLWgm/jh2pHJRIlRyP7p6
1frFcTYoqJyWtUPv+F5HfI4k+r2C9Nnj2FFgdEJkE3SOL79e0gxMG5s02SdJ4h7DFOly4jT+ZnLC
HaMmDBVHSUWSljhtE7rkHlJ3jA5CGOXJwbbx8+gU4W029Dgh9TctxkNbonRJZhuHejvyjm5AV9qr
PFDlPhxRGKmuTI+lnYWwVQqmm0tX7khDB4wfGk/Pru9S4PCLrCfEpcraemNUGFpnQaAO9DBOsjaq
dNw4WM+uyUMnwxTpGYhkvW3i2tkTNGFfwuUwmKjIGwy/HQx1fXuPNxP3EK99zHSMDJ9ZGd+U9Mm7
BXeqTV4GkJAT/iCxjCeh2XZirPu7mUJtV+QEwPg45F5H2lFKUtGBCOKUvUqZU29KWdiXEFRdeGAy
zDZeUZe7UjnpZZ81wwjTopSgZJG9t/06wN+NazBUFIPvflSdcxMnqbUxQIdxOcRFWhqL+Ipvg73H
r9R950WzXxfqEOkpwrBeoyGGhhe8whPDGJmskXPKw6AIDue+x85hjZStyWSbWiqzCvNG1aTHR2rE
AHuZcQNT+gEiHdgEDW61MHuo6/3GzzZpnnzPrcxGU4YqgJPBA1L6P+yd2XLjSJZtvwhpmBzDK0GC
pChqnkIvMCkihNExwzF8fS8os7siIqsqrF7a+prd16pUkILg7sfP2XttZe/A75JmzAa5heNehgwR
bMDLPG3Pwjk7V6N96a//fFb1131iPggXtck4OShJxGDthlYCnMk67zcNp18PL2R/LChWMHUMG82v
Xmd2TkNYJNEj6l/2bTJvaBH9ZvX+unl+foSLwlBgCTeE/ssD5hYmaATEHoKBjHx7RftVtYprRr0g
Bumthmej/e5W9GtRwIeyd9oUN9wn2DZ+2aFiDTOUk7Ru2FSkFjP8aoN60RvGbrmBYICRnmaJ7li1
ekSQR979pq1l/FrbuySrUSCbFPD0U+m4/LyFzI3EPyErNxycGh8VPGr+2kRiZtn6gcRJH2u/9/bs
dg+0HfI9pF/1+O93zU8F3E/b2PodaJGDo/QQ/a4C8R93aZZN65qt5oSZk2tbNTfdAf98y0Vc75ZN
q4jGTaXevcHgjuCiu/ZVNaE6LXvTu8dZsmwT5UJoGe0sHGBeveidyaNsOqq7pA4ldKS7cZ47CHgu
v06fuJdNYztwVMfmyYxRJRAYaaT70e9vLDeuYS1pxW+KrxU38FPx5VLAEhLlWOT60Gz7VUwJWNWx
G47QcGBVXY5WO4V6HRukgFTq4vOX8IEF3ZCf6a42NAOS2YIXetGXbUGSaLBQgm0tehGBlUTxwY8T
gPNVprGu9Q4qmvlRo8U4aAo8zeDBH0xj6zbHcLSr21RdLEvSHYrGIQ1GLN7emVzFVBvW2Gr5FYuD
R9bpFxQ+1TpjL7VQ1vij2xU0CAcwzNumu5r4SezKColFEt/NmtACJxqLm3mpn5Y2s9iEhgsxDnxZ
m2zMuEnU2Uzd/kWrym///pWx/nbS8jhpwqOpdGkFW7/etWrfj9KFe1MY5y29k0FrAzdTl2k83kuA
fRC1bAOEmwHY2JmjwKTjFWSi9oA2407VUrpXOfNlQHIss6xUpIjksf7WzBlpGIu/nPhXnEuloPFP
RMQdaCQRwE7O7B6U8Nclq/0Ttzwd9yGSPdF3dtiYTYmoz2wDzamehmIeQhJbHyQN6W2+tL+rbOy/
7VZwrrht0jYSZEvRLv150WRpP5PfUojQUBzegOetV3MaGYLxxcmnGTwyMSrMeD0psKGlSZiDS5Oc
8JN6MErTepslJCnIopKP+D2Rd6Qsuxy6HmHSItNCc6x5MZ1Y27aI47Z6yzsy46YNjNTLgoHwqt3c
DvtpTgy0BPb9qKwXEieKzey791GSfuOuM8ADbQdSSTT3ECPaOBMW59301JO7pCC3wlcF1/Eyqbdy
nPq9Q29gbzPyCxlM8qIrPnLyC+s3PZx/9u4wubBperPv/K0oxM6eMKPk3QFF9IHbwLtZ10o71Jjf
jVj9po3r/u3kIk1SWCjU6OSaYFV/KZDlQK9KH3p2WORU24w59AvCsuSEzd2A1EBglqVH2RXs9eRk
ei0bXkv5RcbRAvu8oYIH8x8wTXxWfnRJvO45WkQXGqh8yEWY46zaNjPrWmVIXvlvyTRavfE+72Wb
cXyYI6uZsv2j6prl1lyt30ZDKJ9RVd0BL6fB5HAqL7NOd3ZEJ8VhgiT+cVRFe8fAP9oaZqJuawAE
gW2i08htgxaXszQ70r7VGTGXf2Qie9vjjzn4+czOsfgD4MfSvWxxV5xHnW25q/M87Navw8S0WAtx
9Shm3q1Occzgc/VkIEyXHKKmZxX2WnZlkkYEY7wEwh65UP2VwTg7SSot9FtCczoVa2HDg9wkruHs
EnpBVKAsiOU3VcE/eVt4SejFrHr09ZT8eZ11jlPkkkSd0GsR5WSC59eCzQ2WipRbV7Ag/v3W9vfP
Y6qIIp0Si4u6+PWW7uSk1mpLJchMlhQgNasB2Zx/RHPkHQh0aH6zGoy/F5Zc2z4xY1x4Geb56zf6
4ZLkIW9rzDi2Q3RM1i4FAEuDxXMuSdnu9+WiJ6fJx00bd05YV0N7ANTC3xFu6g58uUEIXMkoYHSj
YOLmDMyVg0pX/Kn1ym4RJRj9vm74VVKnau9kx3YtyvVwF1HLyZMWN6Ks3uZ1G4mJikZxzUvnGMUb
+sVmRwgX2zs5CduY3uQDgLLuuDjeuVBJHjJl+GhgRm6XUXzkbvFmJnx3DUd4OHvRcqKvZe6MYaKx
UrUPIIvZqTR2/s+jtc4ptVovTl5QlFm41xHcG4h80YiwmnyfUzLhFTxVSaGfxt7u91D3OU1ljhi8
pi7JSbILBklGkr6u1dlk/2jlML+XC/tbrnjPl4ZXPG9hq6As5uzJ2XYx8TdPKabTkOdmYRrnC9Wu
WxHlxVnvawlTgBke4J//b8H7DkVMC1uXmHVCKcZhO+CnDCakBZt5PXWzxATon+Yui4XtIjVG6oF+
gm4CwO6Y9Lp3NhoG+AM0iqPfx96hw7d6JjaKv1NMBVFGPhzCCvE3mu9+D6KivUoNVERlH1WcC/ya
GhELV0pblm2tjG5HwLezx6PkH02Z8uwK4e2LxXl0ZverRK8bEDBnHlmd6hJPjbVjB+MtFrO3J7SI
kiWljP5c7r7D40NpyidonAI1YQ1BInn+iW/1XNr5c3yurv813+f/QRa8Aa+dayGr9l9Tts7pUpET
8KN/8x8/9j8GTpvpL5PQv0Baf8ZYru7N9eZpszN4lski+x/3pmn/AamdUQiMLR1468oM/Mu9aRp/
UNHDjMJoT33mgt/7T4jw6wXgxwsCTlCcRRadLXodgt/35x1qMroF5a1Uh1LZ1YY+ZE2HpZH7NjOu
LLajYxqpL0DgJlT6w3fCN6JzLFD0/vDIbv78vB9xW+Rz/pPvYeJjEOuwmNnjLzWX5cdaZVQR5Oi8
Kw49Ufa2lWMdDZyBo+lkN4fGuYmQMQ/p6iQQpFeYcXTOkqnfNK31MADf6czDAok5vbL08mTBPglS
rxe0BulXO+6pNjCMj9TYtuhv52GmiwfbSyCi3OrD4wibEajKjkT6XSa7G5LfrsccuY9VEyDshFEn
n20ZX5MjI3G55g9DarW7zorfbDevtsgAna1w1ET6I1TxHVb4bjt4NApI63rpuvrBmin2oxmPj3UD
gHK1fYEt48F2ltW/JA6ZG3G16CHorU01USGX0ghFEhOmea40AuwaAqO8Zy1f7siQvsdBSdrcdGBq
clEmJV6CGM1bcz9NgihLKvF5yq+4n5J5FePKn+zKO1gifaYPf9V6y4Uzie9VQjK9/goh+tGN+fje
PbeivXMiYw8mdGdM2nY0AR6B3IoDhGfBPOS71aRRFepb2hAINyyWQa/H+TD9JTp2wkyOcrHkAehQ
s53c5dQb41nzaEejRitgrgB4mZ17WcTHVr/rSjegH+MwQh7vmym+4dwOGdNmPC1ik4py3iFu7J3x
osmsR4lAaKMTKeJ09005fSjpHadO/7KgFpppbW+SsX6BaBjOIj2ZjSXoNpDVFVUo6fxHXq9NLvBw
WTYdLzrt6LV2s66uYi16AYx0Uo51xy2WG6s7PBoWp4bxrZJEteqEkAEbCUiY2VbTMm6MXnAjM8sg
J3vMn/rXzOoD0+aSp0/Fi8ur2STOI/dqnTDF8lvVkEo6J3JbdRnQbcRmMuu/6j1c4UgHugrCmkCv
nWuMgVDJcyaNB1s+u227XGd0f5/VIk9dbt9Gk1J7bx6hwoOZP9qms2WUccI8tHWa8gBn58UZou+5
VhHHeF2Lx86WzKGalZlW67dm71YbbVyOdZw920Y5HgZVbRW60CVyL9XUbNF/hUpY1/Z823r1mWlc
QEgeCQb2TECbT007GPGWlL2bfoqKXZz1B66PqADI5WG+JvKDl9yo2LgsKxm0PoAqYNdYczdsBzfp
6oPD/fxcYy0FoPIeLWBExpLkO81oz41vtKycvKCYsXYzWPzOw+VWeGGT33BfC8bauAXfsjUqOyTL
5kn35EGByG17cukYjj2DDSbKr9jzarhbHckf+UuDTXFLIksEOqcajIvEdOlvLo+pMsW2GdwvKb7Y
IE8FlheBmc2iyzFdo2HfI+QMysVzTwQg7Lhvf3WUDYMwW5eTee3rw0h+o7gG/XRk9vNK+NcxHcS3
KjeOGZcBOqwYBMxKhmBZDqLUx0vyqyjCXQYeSNDvYqwtwRIR4okWcFcaNy0R3Xqn8+QRgsS6dvTq
9CzTctw6GMGYeqiQTD+Uy464IYnpVhYZGK2yfki9cq+SyA5SkcB87er3Svhbe3aeJHEZDv/D1szy
sOD6uZ0ngDRJ++gu7TXS1y/DLOtDQsgcdZL3RHjovTuCkZt8/A/9qYpJ05Xtgw4xbrGaL30hXs3e
DIcqutTn4Usz58/57Mp9X/N7oNuZtWrXKjg7xLjdzbZ2R2LWcZIUm55LsPmA6GfAUbJpUMRzuWiz
g+uNx1H38Bpb+6WtP6xc7sshe/NiZjrjHB1LOELnJmLll1isAqPxvtO5eJoERRS91x0e47CxVj2r
jeNOIpbedEZ58IgaNQfEuE3n8/71OiToRA/MjGC0yrpczXY7VtgV2eLPjV8y3qRFaMPFCXTZvWW5
y8KQxibpxy/cDW/wUTxoo3epq/5qMdH0d5mLeRzLiVnFxyW2v1OOio3eYs8x0u5y4bFqUXTO1Ri2
OYxauxoXakpuV5pmewGsMAEPLwJzB+Jvao69MZS7wdZu2loh303iHGWKdrZ1USK2Tr+1Vb3vluIO
px0GLi2+7YphD5e2RUPDk8x3reOeB1I1q8W+GLuR4vfCSfogRxh+qLR+oyNxdsSXwcofI9kR+dDu
83nYcMMImopNSIcD0ifRvm6dbV29Jl15JX33WbXGcSr8bV/Yp7HrD6Oqw8gqtwb9hYCO41EnN5Mo
JaBC7n0TjVucLIc5vWqq/nmWDEnIcMINhPfReBmK/tocFZ0QP2YAvk/7COtMFx2WNSiQ/JQHJ+rf
2nyIADpN+YXTPntQ10SBohxzaOmbh7EYyAi4nBZri1UzRcbf3mqLdZ4ndq56cjbAvzFfCvdGTMn3
ej7Fyt2R3XadTCCXliva/2EGAL/VrQ8qcK7bRE0MhXGifkMann7AkvuWxPa15fRXltMe0jx+0OcR
IFoCCq71X7wMk8vw0VOJNzNbpyyDTrRXoplYhNULS+SpmcWFW7wqD+W/Kl9j5iddnl0O+nDtchOw
EJPtzSg50xt8xop323bVhQtwYMAaONfymnDZVxlrBdEU9rvvNldqMA/VNJ9d2JtbEt2CzDcO0uro
qQxvwzJAzvN3hViA02df6Ye9S2smKgxzRERciUnTqSKVA2tih6pSFoRUZN5mTO+JibHYFBLmRmzL
A83eXtIJH3Y9zMnROi+ZdxzN4lr30++K+FILPgGeWs7Pio7ShDofrHEC3RHnEAkQfnMZ2/ltWzrY
hpy7QaogQTeWyv5Lci6LS7N7zJBOWI0W1l12VdNT5UJF8LVixpu6AjCHSeQuv1Z2Q+e5HNx9MY2H
SnbfEC6dkjQ/TKuPtjUvbWkaWCELsiLW23NxsidGTK7z1E7tO/kR0a63bbhVKkHyrXXM1/slmDL5
CBnMvh0X3yApsEP2rusUNlWFkEVZAXbHixxMUd4D7yptcVMnzhcug1/NaHiGArFHLCo3rt0+tTnh
H2P2lLntDgdT4BARE08UM8uD6pmDsfFiGg4sIe+aGule1O1nQ+xcpQVmfFajwD4NwolWK4iKKvDH
jyKRBLjf9g0OESaHUZ9eZ92Fls5bp3CD6Y40vrDq0EKX102EeZIIXtJNkoTzI+VePtwNHEXbmaZq
Nu4X/zF2zed41O/SQWc/8ADPPeQpGXpMKsmJJ9mdfnM7XE66vFXGDdF4O8iB5Je+anCbpsbIN9Ug
NnP2Po79wRlB0NYERGrNdDH5HeL5xvnwy6eEtTlX8QXNPWxGYJ18LhJ1g8yVnKGZgDnvwUHX5Nn9
W4pjA/3GsBURSW0e9cOguc95b1UAOp4a6IJLox0H84RYD4MWW5ZNSTpFzkUjnXtDPiixi6vZhgPZ
5Q3+V+RJbNbyMdZdWJUKrwR408uB8CVKy24hq6OEaus5OKlEQgoLyoojFEg8f3rr9y9izKunpide
ZUnFykDr54+y770bP+Na3+aW+qbGKt+hp9L3QpA0ulmcSAVY9wPTE9OuEkL/6pRFcutZ0jnpTSzi
DZu9PPhmnT9VTNt2hSHB4ymLJwnW91VSDR/gs0VkJXHv3/X4UC5QJ5pDkOh5sissHGlTkZK4N8cH
t7X173yk95Um3fKuSZDrEqolppnMuCclzyJeJu6vvQR5oV5m8qRrbnvPfY/6mMJsAg5XdreNzK0H
ojumQPOZ1M9ZMh7RatWnStnxcdBmM3SxWd+UoAi20Wx4x5hkmRw/J47soaqbc1ll8Y6zpib321+O
Gu6rs1kSnUgHurvwBxeSD5MmMAWtz3MHe3fuGa0HpTmfK8/Ezx3PenZPy9x90lt9/lpXZXPKeicK
Y7hx1/a0VF+AbPhXpFU2j1x0WD9eF8t3L3OGF60g7nlDaZxd26oXD8LPkjuoE/NtN/r1lTG24k7Z
2XTdVn5ymu0nlYpN56l27y/9dBdVhv2o2fasNmU6m1+Ep43h1JCLZC9Tcdsqd8DFubiXxO30r4lI
3YOsBo92/jS9Z+1S3pBZ398ITNTXJHNmR5lCNaAFvk4t1gTHyhtCYyZAK6au3zhWzcxXLQBmI9MI
KjuTez+J671cL9hlPpN1A8yMdm8x0jSzEvFsIQwOJran10wUJqASEtntzDVOdIVm9hQopLJIb6rp
dUogABPeEqi+mK9N/GQxrOVZ3Xe8mbORbrtZ7iuyDbZDs3wVRaZx4+0GlD+Reog059Erl2unyb84
aXGwhTwmqHzshXQfu08PmjOdmjTbEeju7IQrAk334q2t+Tsxc/7q7suoNUcFVC8YDPubU3CYmdmb
jcpkplnLXDXsUeHhexw5GGwxIW4n1OHKi219Twbs82RWD2ZpH1PduyrsAePlEiSZxTce9gqCo94+
GUbv72qte2GslmzmOKWilM6DstVjpBnX9UzvT2MnSpP8cp60Y+zNTGhidayNxiaj0iwOslwny4t5
PXuksJt2QbRXufOb5NykY4d6gqK8S4mXNu1QtX1YdoDU6l03PA/os/uqOxFstcEVFcZF+VGX3W+G
suiof2p2MGQXyGaQJTuokOlF+780XXCtUzEJZzw4xTPX/PS0TMN0PY21iaWvmC90p2yupipebtmf
kruRJK8HA2vbdRs1zrjpnFK9eLmS7+7nUsnXVTOv60esKylZ11S+rq5mXWfG54pb1161xPn9aJGS
s4I6z8O6Rr11tSLhWy4AkHdP0edinmKrg5GTaxdxxFqf11XvresfRzYUWMLjztLv/D1eOotQahgN
xyzKiTTFPH7DYM0M63VvMdZdBlrEeIwjdh69j6agsUfrwRUz+5LRUZ/HSdLfE83d3etVJ09osNqL
emn763jhNkYeuHFvRjTLUcXqPC72QbHuiFpcGd/NdZckKjU9JnUF77RJdvnnZgo2r+LsjLHrfW62
4H5ID8y95LWsqTNqffbvbGiNu4S8lSdlJVwYxpHtW09G59TMY3Jr+5XxNfK1aScRblp1xiH/eQhU
Q27sx/Vk6NYzIlpPi2o9N7LUnz/09Sxp11OFfk71ZKwnDSIXDh3+mtUxhtywa9YzyVtPp249pxjB
JMdpqi6r9QxL1tPM4FgDbmwCCl665RtNwhMMJJ8cNNPonsZW6i/ePPRowtLCfJ6FS1NLDub8ZQQ5
wqqxCNmqYxpQOe/mbnBUhfWbAs5EybmxpvLKBaJ8hbIpRcViJjAWefMsjOA1l7YDud3QJxE7RW+2
FEBlGA0sXG6q3gg7obvtNu0/P5EsXRm4xEW7nNOaC3gWmzDZZVVV3FRl5rx5jWmeZMYmsXfIymrw
Q9tUCgwtyxHLhJ2/W3p9q6yCqUeN8LcJk8iiLuG2EIBTJ3xeSQS0WU9mty7qaaea5i7htnkYNftL
W9LKGXQY8elCXbnw+s4F5FlAsjtfix6yrHkoehj52pi120Ur5RVuPkSZXNi/c4l51ohTOVuD7++6
2n5UKaUnqTvWTpcqZ4dNPAg+cXHnjQ4ByQRk7DjooQnpefrgEoe5YYCSXSSO85Aa2YOHnfpEhG9+
KF3K7EHqF7FlwB1SyZSEzqQoenoc7vjRX1NDp1dipB/zrBFP1iwJVXE+7ExjviTxT9+Mkv985MUI
Mle9iMGoLkrG1WHpTDbT9crcN3PRbhFOyk232HsvqTAMlSNZgYBeQpqptFX09g32+S11obnRnanZ
UH081tX0hHKsvB+J7Lw2vSLZ28OgPNy0OXJflxDgIkflCMOtBlJhGHsrc+rQc5dl49mqC5XJWqs8
+ppRB7Fdi2d3E0/d61gq9zgbefqSLuWrMEhWk6Ju94XLpFz6Fuy7pRh4rdJu00g5Ba1BrmZfOz1R
vwsye7gwJPIJm9PRl5QWtc51/kZgRgNCRsU0J1z5Ey+qnqqo5y88c2vFFUw6sK8e+DlxjC1RcOwi
7H/sPKc8Vb2IyNr09UPNsXuuIvebgYjzgfi6hbeADUWT5TduMR/kDD0wHEEaYqSwiAkYvKorhk6V
w7Mr/OQb0ltSh+GqbPKmk1uqAiiGc/o+z+bLWHzRRXZGyM8bAQgCeOnNYlRAtvPyw+mWu9moiBP2
BgzbRY8lXvNcE/BDGl91ram2VsbmSA5EgXHW47BitneviN95xFXWcXs1vk6Vbu1Ekz26OPAM1Ic7
jXE0N+O63cDYTy5j1zrN7pjQS2Z9TS2HBIjFdEtD+gr4ISTmwa2aQ9oDd0DLlxxiSMAvmbdeMmNr
DpcJ7yupzGimg6xXy2uU5nJr+egK3QEUvC1oerl9Vr9lcM+PseYAVB797Fj0dncdVW5/o/Aj34hI
m94j9p+TYTbuAQZ3/6rW2qpZqyxrrbfGz8prrcFMDW+UNlbaNvqszthx7UfAc9NduxZvA0/8c8rw
vzah+n81KeZzHmWtqcL/eoy1ffvWvv0JJn2LwZIe3tT3Iv3bVOvzX/lzquVaf5jrjAqJrIvEDOXV
f2NJXfMP37CZeFsu9Y1n/oAlNQmcwRK5+muEIRxT/GOupf+hQ8QjakVnJvY5DfsP5lq/jPqpvoGx
cQME+ombF2MAFdgPg/cs6wm3jIpoNwK1yLJp79hJSMEBtc3e//Cc/sns6lcAKr87JrN1bL8Kpla1
3c+fFUtidVEnRwDlqhBn+t0sm0OXu2GJ1GDxmy9SF0E/PvtWqLnLdSwXPUisl4KtxUyn01TUoVOa
v1Mf8iR/HOz9+a2QVnjwrkEj/uqRj+q08hHdRrs6mXc97emC3PpgNN3QiFswHBAcNRk4LeoLoCp+
rLZzRMsk4qYiegQp9e2/f0zm5zP/YdS4fiMPtjFiUo55iLa8Lz/+TSSHiwZMKtp1y5DszYzMkFLY
d7ZvRNdTQkRrLbTiui7U0KK/WXDn0DnpF0FLI1f2cUnKV60txW3UG8XJIgTsZNvpsXbLkBtTu6Wu
fXWnrwXRC6rnHlaVZyjwaT5uJk/RKRcY3uIN2Xo7q6MTDMCECQPNz2XbcKFC9XzWG23r15RONlzv
wj77+RAOSXrhaHejWd0tkdyaIFvsBsOGN69dly0sRS5G5kXsRPuhqS47xzyksmQk+TJL7aiRBbao
d608OeyjqL+ti3reFKZ9yP0nNahnNeQQ8maMQ/XkHu3+CTojlB2F+xfCPuw52RUEAcW3tHVTN7sq
PBEgXAw8MYNriC5EAp7OJqE0Ktbp5b1U5QV5T6SLWkxSY3pKsg+bzJvDNYWazvkWaT2qoHHVap9V
4oQIPSZ3hDPKZxYjWWUqtJpq04lnx/MvMvj9bpkfjUKgchg2RqpCkiwR61SIVcYgLjoeDx/j29u6
Ge+qVtzy96S9YR2G3pGbZVRIeTAbUoIZzXviXptlc1kS35SmHh03OtO6f1HbrEzl7fRMBlp6n4/V
QWuv5toNCSp5U1jvbfu9marXrvta4kePmQdArbru0An6803aUsADNZOeG6aUFrDChytwwPU9PebX
mCC289zwl3MRv2uU8ndATKo+INxhY/YR3TZpV19jq4nInSbzOZCqzuiClcX3bi6TW3OJqzffSl2K
C7EumshBCxIlR3e0711jMB+d3CQ/Y4yHL2DucRAzzuaO4JLC4BR6/CTrHHb8bEUbIyoX5qk5VKdN
JAZ579GFDw2nc7d9u2jcskcAk3wLZ3oToNcPpZB0tKdGxedE1emlNVjXou2c23ZR7l1vyr+yEf//
IfkbfDeHJK+/hYTwXx+S57cyrYf2l1Pxrx/7S+th/4GAgRuZhxnOsNGP/vepiNwDvB7wZwfEBHo3
lx37r0Q1U/yBTRmlCdcfrsdckP9xLFp/QEWgV6Bzbq468v9I7oHp/udjwQP7yscgRvFpTxroW3/e
hEXTlbWm5/4ha1N5IBg7DwjKumB4beFBibGdinh6yGFj7QGfiSBOlulRdj1BMUb63MZ+c9YaDwlC
JKeTyzjnrlM29CTJglwM9AyjnZKKW+mhkF3MeKCNnmzTk2fMJ8eujTBBDt5wAnp3pyE8YaeYkneB
qIEGH9ElpipuMg9bC8U2cjBaHTON4GawOTpTH40UFe2DT8xtMEV9xO4y1+c2s6dky0WB/FSi0nGJ
Rdk+JZvioJW+LQ50KqZ7LobJS1rX33Mugu427q0GBV2avaYmPW5chYfUtq+ykiyDPCny0wi3YdtZ
NnQpm2s9l8etPaxdGYGboyMO9y6DnMYRIQ7zwDofpQF6KqXLurT09VST0hNN0heEAwRD9HVD26pc
EV/d2GxGYdGCbdf5AekcG32Iw9ZEx9fxiuSbsZf1nT5m30bR2dh4IzTXybwG++gjk7ROf5XGJPmn
olJBwoQjCXohvlfjBFhm1O7V4Ba3qnC0fTGKqNzWdqTfitH16FrGY0IMQ2nAUTHYXghjGUF/bHL6
3TQkCenhjtDPt5GJsrlvoBCgKGzVFrYbB1tRJ7F2bJeiONVT0WdhtJg54DsARBF9nqhXYeJp/klV
9NJ6goyAoSJTSfbclNQF4/KGqa9PUsZWCRTWG3zgKgJWWReMlKRNN72xJtLgp1JtPL9zkci4TTPT
BJA0BWdt9m960sScjWzW5AjDdwUxL0xzdGC2WfrSd057XvrerncGLes0iI3Ivk5wBhvbnrssWgFi
ORlkYG71S3UtbKszbue89xjBZB1ALWSjhbsbbQOXsd8a43iX0QZJDu48Dc0FbxhROICQ4mXLVYlQ
BW0sP6o6lScXrHqMNKZu6z3aau6J2ZySFvM5qhiNdp0Rjf4t0tqjl+uA4HCLbQiY3/V6L2F9WQTe
uG68s60rBKwvRefeTNkKwEp1M+jS9kDOX8IAUj8XsAE3ZL3fKUu9R7V9P0B+nA17vkp96yAk/K5x
aC6zGL5fXh2dBKu4qiEf4CaFjR70bcWfzBxxcMhZHmM9t27S2dK+8zpvK3gkvtJvzB5ZaDl5t7re
APAfpw01rB760qy3/Kof1nJL/AwSDX4Gs/yL1MzsttP1Y+0k6XZs2xz2umsHZpc52yrXvtlpkQPM
0aKNo3U3njPTqZ5pBIxtzMvgxQfGl8QdW8mDJNJun+cuYTWFFR+aVZjkOBJm/axlG0NWXTAvi77L
yTF+s23EEo27x3qb7BaL9BAFi+1QemRE4RLfujZERsalqHkio6zOepo5r/4c3wNGS7cpg5f9GMH7
VUMW5naBNMNy+2AgseXrYi/drjXmneFN3SXxNBBN6XMmsE2PSrj3bH1n+KDxxmpm8yJP8WxLsZuz
okCnYTr7xm/3svaGPXXxtwLWCDXt/D3Oo2srGStGbRhW7A5ZwaKM72Pv5e/DEn/8cDr9k6uJ+Vnl
/6Pm9mza66s3hm4BIZ+rzvDn7b6sJ4x84C8PWowtO5HIzP2lAJQcT7W4TuhvgD8mYrumvZB3Z72a
0hd07wAbERtRPktnTNgn8bc5VNSUSplZD/4unvJ25r1MPQigRg5cMVX5/FS1pfFVzRHr2WhHtPUk
W7qEHMoFVQGzSWgfE0KWi9xIuAEkSEbaY2sINouyjk4MFhTWmc/dhFEwO0vzucugeyhOk5wSxoP9
7JpMjSkqk7YlUGjQbS30kjy76zONTlTR6O6xbZgktqMTM7ilWWX2ccgkd7gsoi4cfdpoA5mSGwtT
i24n40mgFkQhk5ysKMt2WP2mIDf9ZCvxRQdm6SN+H6y7RRr9Brtxd+mUkdg3ZHBtfcZRgVGlZK5P
0d4qS/PCIrPzu0Ej9LFVcbVrLDTOu7xr8HR2OYLpfQbKcGCok6IfiRZWi6NnLW83F+kqwCmf5ffp
3BnjaW4ohotsFJsEri5uDbS73FDk1vdjJq+N/1/sndmO5MiVbX+l0c/NAmcjgb73wWf3mDzGzMgX
IqbkZJyMNE5ffxejUlJllaSWIKChh5sQhEpEhocHnTSzc87ea89nDqKAssziOq1UdjHFlnvWLnxT
xqtx+cyi0NJcFPPOgzaMpQk/Kx9ok930NYyxuPM0/tXsVsnKPvlmWm4qJljWlelaOeKPVMS4CToz
W0ughOllQW/+IhkNFFRBYexFn7h0sXtjj/C7O0cGTaZKxPFb1KQ8rWPa6G+Tx+qFcsC+4axLJxLh
9qayrFdXRhaxTG2xhazToOQsCBtPOBKnnr2XBfZzqwEqOrQkmmmjvwhikAP+qLDOJi12NPLClRUg
wJou6877msTzuOXKfZFw8YCYpxG/SUiBFiT9yq6tB4I+K7Bl40G5C9NWgtsYnffYtAZUlcYbfLsy
YeBv7eukOzk4OBMLJrJtXbRF9CWKCVJqkiMC8dfU8hFphtdm3+PG0drbjbN+L5LRuka0/1G5cQi9
sXY3RKaoXTAS3APh48WDdHpKlgqlJaPpnRCs4dT7QXtbMIc5tq03I3lMg1VR5Oi4+/aNwyIlqee8
9+7Cly+Uv8ZEFWwKK00v3Mx4nqG17YvJtK7LJrxiSjmtHTCV27I0pg0hMtUOcFG0bjQRc7AokdHW
Wm8I/EOvz2oFDnLbBfWGU8Kuqtvuaq4thYtpmvbCrRGJjPY9M+HxSlpWihKdvDnin0GYtxYoS4wH
t9DWW+wF8dYJ+/RodDQu4wF1EkRFQcVM/PpAH1W6H7CzGTxoq/5OixE+SU7WoqvnisoWx7BT2MtY
wos3mZNn+2YYM3bYZZSBY5Sphj9OxF99zjr6ZeyRemnH1J4UOIa5WfY9+ZySFBED1EzHGKw9m2j5
vaHQ62wRXhYX0bJHq2W3zj837vpzE4fMx4buCBQth+Bzo+8/N/358wBQxxGHgfHzYEDwLIcEfzkv
JMvJ4XOF/v/V1j9UbS3ewr9dbW3+nJUEcfaPNdfyzT86kUu/EcLaYjyjVPpk0vwqsRfmL9jYf9Ok
pNz5U81l/sJX0N/TGsP/DKLzLzUXTUoU6CQF0dkjI4mQ9X+iFRlSvP3UicN56yDGxWNNeRdQdf28
B9fKgL9RWi6KvvS7Fv61UN6+9sOHLKoR3mXWVk6gDHpGVowsiabwnxFk7HX4LRloGllGfBEl81Ou
/T0AmiVQdptdQtc6dQO6boEQN+qvAFU+NYgo82Wzm719NquDWZN8TOtE1gyB174Odv7A9wIPk5k6
uI085r5z6yvvmnn1fmjcWzeywBesFhodg8TdVIcgTJr7wKjvZ9SKke8QQ8NSWhCr273O8n6KMRIV
894bfUjQw5Wog6OOi0tgAdelOz7VDhb3rjwDpNvWrC6y4GRMW2uyo4cZpuiGVOaH1meMO2Q3ReRC
xkmWmZanDnM09CuKrNsuFgcHxRgC1/5bR1SwGaivmcsli01370T+kVHhlnrtzeicTVMXly5A8N/c
eX/lJPV7ONVin8ZsQUSHQ8ebu+Z3dTMpmXabID6HjohQuqQGQWwUD82NN003QsHYSJJ8nc9ia0B6
ReH1P3jXfm9K/exokxVO/Y4LG9vj76xkZIkEVWiTF8XKBJAyvQy02o2mtFb95HnbPLFv3Cj39zqa
zyiQn/oydS7pwRvHwgfXJlYfk9Op3UzHF0C3k+4EierbqJovR6kOusnztR9Q3pkdgzuQYcx8ZLHZ
l8NE4gSzuhUsvu0AEQse9xJlGXmovZyLZoTelhDitNWt/TYN0bQaxvlWm+l+bnGF8ex9cRr7IhLj
VZDpi7JJmlNFdN+vUer/1EJ6lb6pqq2+d/+9fNtbBVYtRUf9+ez+5W9/81/99E3t//18kfij2rx0
Lz/9ZVt2OIBv9Yea7j5aVKt/WhyWf/mPfvE/Pj5f5X9aJgk3cmzgBb+5W5ef8uO7r1+Kj//znw8f
JMjFL+XLT2vkX77z10UysH5Z4p2WAQWv9zlf+Y8fi6RgkAP8k/wc1tBfhzI/FkkrZGWlZwVG2bMJ
8wm46374kCyPxhSTnOVgSnnq/XM+JF7xd6ukj4cXVF4gmA0s6+XSuPrNxCbNwds7GWLB1uzufJbK
QwHha13RpN3Bhx8+aGIzQGXkc9BVMa3FKBlGJz59bmIldyEaH4jq4C3IgSDl+7Zl3LGzyCk4UvEW
5Erk47WI8Pg6QczYMQqrXRdE3ruyo2o3yzETvGTdvbZpZLZXGYdgc6XG1P/qe1by1CEDulqo1QqP
YJdGK6XN4EJA4jmmKCRh8sReKA+gHZbG9KCoIV0Dkmw5vOGmVwRaBhcECPdffRtZrFeBAFhxOVLM
t5NwD8oP0l1jzHWOzx1CKLLY7LEsOIutSxQ/88qWI/IPpONGuS7DuLhhjuVWAJmtutwkRuhd6ShI
y/3IwfGxVGb/jH9s5lkVaQdmIovIaElHifskzyf4kT7c51wNtKqN0eecD9HxpiPv84kBSwrMW6Xm
BUwIDo/DdG1NVn9IrXZ4qxBcfjMciW+qlW170+WjkWwwcaA+k5b3FJmDc9k5jvGQ5MJc6ARYnHyI
W8ep6YfbnrJkq5w4fg8myQWPMSHxxiWaj5z3rkHpe1WgDpUmfMSUKRoLPuby1de1d2T5dRX8S9Pm
TYJCXMG5qWAGZNaNXYRELedigp5H40eSr40jJ/b8dE/JXJWryVJHNwFL07fDqRKtyYnUpp1AO+xO
j6mxGrK4t2izz0TQAW7AK6vn4YWQwOw0MFi/4obSGc2LgAho+inuNpZCUIOGm35sCao1rX4TUuUe
GKqlT3VbdZt5NBBfGZW8MwzBTCEYmxs0ofG+osBZG93g3CRhbm5lkMUHH70I46wKvYLRNhi9c/Nb
M8/zKXGRZsJhz66mjBtVVYN47XKycEwHz2le2Ql6t+ChaYb1EKpqjUMFkls+Dms7VPVj7aDrj3Xg
vqSWni5SU7nrGN3OzkdH5wjVfjHN+rlIECVaYmRM1vRP6CkYlJW6K4npDr30vkCFrcbsXKNnJDXw
hB4kFvigSGFnjgThdtXoWuNygZUKLtHGL1u3cfrAcyCuWvJ67miT+uXB7MbsJBP8Vi1BeA9ulxGU
UcF7Cvb8IxR59egUSPuUnO7txmwOOffUNZk82HMJco5AIIbpES1JbayKygeqlgXutVcEDqKIZrG8
FVWEMBgdv9kzVVVDQYtgGqP21ZQFHUOtg/BBlBbpIV3KQhH7pgI45vnTmeoT0VeT46kCPmEtmVzx
uR6bGBlHF6d3YxBM9XrAxkXF4/fPdZrV12nqDqfJhFaPvR8vxuD0M69EU4whpnUX2mgggrlxUCvX
Xv8QhKP9qAsxIKgep9dQpsXDhNZcHQjVcV+5v9Pvid87wAc9jC6A7O3kxaKbIumEBH1JOIgQN5nb
lBjXCtujhVE4zS6vsmY/xE1HjJAXJfta5+UNLRHnoYf7dIqUZ9/nResQAtHYvMmi9M9JikadWWBj
bU3Vxe5e04S+mYfMuu1V7O+zAQk3iJfiLeMW5lONHPuprdruks69QzwuuHnmFikqWRlcl2UxJyup
JuDywolMQqFq60AseXzhWX12aQV5zgHC8yxCctAUPRiIHzHg+NJg5GeJa5F3xW2gYvPOtUe7XriJ
ToIOcBCPsSxMZ63Z69+GGT+oCa5mTbpX1qyV1yyn2lOG44JnPoNwsArHXm0jA5xOWgwNqWBpkJwc
UyaHISyvabV0Bidqz9jUziInCjvrMAZWcetnHfY7Htwt/ZR0r/i/lTXM5X3bO9Oqa1Pa72l4g0Qv
vsrHInjLnTC9GuIo31l2NZ8aRZhX7Bf2QXSe+ZrPTX7V94wDsjLq9knhiQtobnyGduxfRmFDVoDO
iIwXbXlRTlM2rytPD1tRFK9WKyuU44Y6OG6Jry1pdn6gv2Q+fQse/eRo5VAZGjvZGAzG390q/aCH
LrZ+a0zrBKTNuq/w/EmnOaWG2+w97blHpjc3tuEK5Pe+AT2wFIcJPA9SnuiEYdXjSOeP5raTxvR1
IqwFbyI6gVs7ch1nE8dGvVXMaEmRfpgLMe4Krw92VVJ/leZkH2XdWRvScF4zox/kyYYzzjQp1BC+
Yhe/oqnncddFbn9nIdS+oieJoiyvu4UIfQGL+Jse6wNZ8bSp2xkD19jqdTHRVAkq+9JiNgVELEGE
uPJVmDAgCSt3UwmdXdhk8xGfUc8T41ovkvjaTf5TV26xp6tzUnkEMyfypmbazAnak40VdFMBs3mo
D72SL8UkixNCZv3syBoyf5QgFMumrt+XidWY65IYwzsyXdR+boYAtyF8wLXoR8greLSKHZ2rmFY2
w7NZG85HASgZTSVGfYwD4JA4zBixBAOi034NQJB9ILXbalxNdlvi/5OZ/1YyLbkRfjfcpHnSEpRD
VSQGNrEw1BNhc7h/q+CGXwvGGEb/7AH5AlZgyAK0ka1oGJ+iKHkPud2fZ8/fcOy5In5Ko3FushcW
xOYu9UE+IoYr4CaOLb5Gp2qoO6k1M8RZz0bcmNtYyPGUOeqTBLnI8YaOllKoKOmC3Htt7ZxBOj94
FVuI74AwUQEVhtgpp1aPlejLA6F+eEgEegBQDec6i+Kn3CvQvS8ICeiG8uvQu/XOFjNOkEAiez7I
LlaHoWRQT99e1fBSS6wEWNbLM3vAsEeC3F8HHm5lmwPZE0Ky/DS2xnhqbITpTtMwcICkwYYkvMuZ
yTt5eXZKk15xrbywm9/sxjMPQbxQOL052rUFg3S6aN4+T7w9DPjHyWf02HkpIgXQD7WjNjZwK2HS
vA5GIm1WQaG3hEt9OC7lqFdxK+ajv7VNBoUsxJuiG5gM+sbGt6dbw2mcExnm7jGvJ5CAeI9f6N3W
69blSOG1xRLtU5q7uiPPwZ5tGsoqCG7JCCM/JGoG0FBtdFUOVrZKpwgVtSzp0S0wj9Sxr+NeXyD5
/46sOklXiCLMcU0zxHvXOB/d2Zvylc1R6zrMsciW1KYXHXTxPcSTldkO7CpMtPqHjnirx8lF8j+m
Y78brPHajBMarSEoSTPxoQD2CPcRM8DrwDKwmtyasC6WsmTtOOMz3wQMqhDzKy7ycYv+OdsRTVte
mnXufOF6L2NGX5c52NpU0HjHpOnhZz2UBGFhyhHitu7Zy0HxoiFsovyGYAJ5jQY0ukVrFlwWRFhd
EjiQMyysc+/MEwrzsq4TdUkdUhB+YnsfsznGeBai8sYZbeva07Z/0kp6H2EShVf+EmuaDkl67zAL
oMHvu5jKmzJ9Nqyiu2LZlMdmzodN24i3WPfhQZSZJH0x09cdPZxn110SQ7OyLFG8ZDXnIierr+qp
KTj5p056rIq4peT36onVo0tXdKBLLLaVPoRK+EcciNMd04R2hlGiT1UqYKoZIdqckTHJ4LTlzcg8
uvJFdAbumT/jgW0OjsCUMuUgERVncPhDBI2lvrUtFD52KC7VtRI4RFZgEtHpONa2RDSw0aFPog4R
HV9MShkuc4CFULPgcX6sviZl6n0LS5mfrJixKtIR9zKwuloQGad1vYIxmdzGNhrPQvsokMmbe4sm
STMgZd+LApufPLX9rhXs4yMjygtgeo9+18dfAiPilIkuf6M5ECkVY4TNkfp20FoL+TKCXzuzo46M
NjnybkxPE65tGhuTVNANZVa3CurhLSVM9SEP6+KUqWHitu77I9pB60T8mdzabW5uxiKPCB8N1iQX
sEA2S0CxfB96M3yPg9o5wksk0zGdzJU5SPU2Gcl0IXufkdsydgS3VRn4BwjcooNS7cp54PK5g3tj
eMG0n5NcnQddlvCfq/rV5Ia5RuLfHzO7G1aoA4CuWi3HCcJcD52YOqwPJnadOJ3uoyhtOS9k8iW3
wplfpZbbopyTN4oxmymhIpA0AljQh13zaBjzcIcxCC07ET3Wcykq41sBL2aHVqA+eAQn5rhOJBzX
eSwoerrAOivaWrjXW0atOWL7PgzzXUAjTeAZBEZFJUdMUd3yeXkMeL9O5ThwZw3+vlok9mWkrxwj
WfuMT0RFu93XPqPHNPgecuAnhO9yLENev+7WY1+CyEntNcdT85T7CvW1KD5oyB9IenkIdMDLWH16
TtkSGaGU06ENRLybXIUlyKm6I6Gy3XNjVv0LE021DUXkPxmIUS6rqYreDM5My8ikxGqnvJAheexC
BurFlTPL+tLv3OJZBJHmbOR5x8rkSKsdAxl7iMuHIBI7NQ/hTP43TG5jvGzKkiWeSVO4t7FQgX6o
mpSjfhXsIthcb2Y4MRqLWg+Sj4zEN2R/PnA6M8ifao5I25oEn+tumOVXAl/S/cQcgagbZ3zxy4Rg
Ajgo1lnqiUgA5mm3sWEwtPTm8ZZg6AHK0pAT/RSi4o5gJB5nOhV3YRGql3iKSGhScChwfYJdmFvn
KCa32Pr5oK6CDloZU6va3+qOQCA7aqrbzutwzuuqVx/mHPcPRukPYoWopr3yvcrfDnrCIglnOHiW
rdPsRWt/T/MSyU4CrRB4ROqcg3gBJBBV/cTC0a2xP5JsXBuexsY/20Qv2/bOmKbiq/ZyTq6zkOeS
xx17u6yuI9V71xLaBFCldp42VVIiFcRh254Jz65vOFxn9crBe3lQmb2Ed7GJ3sUMV0JcWJ5k5l8Q
r2bN6j6rOcNiSMiLQ2GjCAypYi7t2IrXjcRG5ZsG1gF0DuupzeMnNwvSfaSInGEm3WfHofTtldcO
86ngeHZqmnn42s8Oeh9OobegmdhN5sx5KuwRr2dvZa+x0OxF0TBfe7NXo2CpzfhSucwwy7ZHe2TR
p/Uy6R3Nusf/MDezXWEG872X3gWKtApzx3xB9p83NA/m8Yub94JeSxa2NB4YMkFiCyuNDa+1tk4V
UO02kTHvJpHXV+zj9XMyRvVTLxpvO9cuhUEAUmsK7OoGeVjw6ItcnAKI+SsCBj1ot3aBUXziiJUt
wpAV+V79V0t0gGPMLLmJ3NHeq9aacSAMuf88W5HBoQGKSFcH8sLIPU6dabZQPLTbbEUTZeeM3jkf
bfBSD3RAksyAojCmO3OiBuf3sNY2BNredtAsBqyu+WDkpOssvQer4FPCbGdtlCGLR0ea9GVzYkC3
iDP9V8OlvhjnjONSmPsQDITRoAZyrBrJZRqXa35rjrdYBu/TKJNXqevxZu0R4Mfo0m/+3x2T/Ru2
doVrgc5GN4+Inv+wUeX+vSbv5cv7S578tsP7V1/gR6+XARaDLXTWRDQsevs/ixCR5tNmNZl5oXxz
yHz68zzMEb+AKmQ8hTMYUN2nPPFHq9exEe2LgI4nQzHk5Mwm/tTy/jE6oVtOx51m+V8ZpXA+/6nV
ayCLhKy98Pp/bvG6sgOPknckpA6i2GnePMOgmu1lHdSsKSsnLOcLYZQBS79qT2bniVNlB4le9X6X
XQ/1jFy4DCav2NAWVE+eEWnCm4Lpqc6K0F1z9CGEWJEsIzn9NeFdAWPgVuSmO4IwLfDnOGKu0mZV
U9ACA+4ttOgQIlE7L5i+V5QKRn3sMeBctTTlT3K0hpc+mspXTrEQXVlZarp3pULW7GGrQqTdYiIC
3+1/UxOuKQ464TjtJ7PjobVppzbHtjJ4ikFFuIAm0Cg0pyzw09uRioU8vVk1D55ABqyJzQH8p9HD
of/1n+0pL87jaE0GO7PNbqMyVDA7e4IshAg5MZ8b8u840juGStdh3om7sUzx+RGk3L9lHjVSmBXu
yUKWductkUtNkNr3tpfpLwj+vHNBnNGdKBgYGZ0bHpgRzvveHEt6JxxKL3smgih2QCI6NGlpFA1G
sEOYD6o1tnXyRtoBn6MhW/yM0vZ7cKf5MF/Uhu98Hygg7rHDzx/pUBTkn8Z184yex72hoGXambQZ
JU3hZvGjcGVPULEuunOCT+t6wqox0MNhgrnS8dTvc5nGI1PAfniERWk8NWEKRood0nwMtAWrOvSh
0GxTQ5qoyhL7NbOGZk8QcrO27A4k1mjG7ZmO17LzsCeLbVFH4QVig+4S0Qe+zMZBPC6yJoX0h9UT
LaRVdt8KNzdAj7i6/YiLaHzw+mpgZ6PisLDxGcFaRBrfZ62w+sVVKeWmC117n5NdHN5gDZcNYsCs
pEBb4Oy4/2VFt4j0ThQ4BOm6W8gghrODjCg+YBVG7iaRDYjGOivreesD27Sw6xcZAYaeqr/Nrky+
movzzi/SsbwpvBHpI08NGjp/kMVA81Xobs2FHTWREgXeKd0T6blG5VSOm9SbkjvPShrF1ffjr3QD
o+8UNmI6KWnDjIr87oBBU1tv+C9MxiWKw97eKSKKR35WRzSoot1+JgvZutRhUlLASUmlPQztm/aT
cWuoWpcbMy34e2u3xqVlpJhke80c263mOTt3Se+DTxoj75gNU/HY0Hd8n+BUPo/I4oh5DyNRb8q0
IEHXxDqTmUburhdS1bFOBHE3SeYL9JuG77sbXAQyWJtV3iG2DWO9m0LKClJ8p+Aj7JWPn6ANrW0g
pEcM6diJW1NH7RFNW0uUVaHHe4Dv7WuovPZLliXmNRAChFK67VCmJCOu01qF/S20nvbLoDxvhYSz
uphnq4FtKwC6jkGG0T/to558mZAS0KiSBQpfSq5FUcWkLWd9/WUq2vyitHIv2UIjh/qWEQd8LLsY
LosVOcieuSuHlTSHCpSA13tUQMKnl1f1byj1OLVYmRZERk5zdyVzOd354ZzQe4uIgwf6Mo1Eahve
3qqleSRaeaDDyMf4rEiEfu+MNqZX0ZnTlYnp9krDcbsKAUElK5uQgruhqNP7vjcwzVIvWUdzINrJ
bSN1lwZDf9PGNu7MhXK7iStdfq2qRGz7eWDfR5T80GmWnDUd+3kHp0xOdFxqWCSdCUVpdoPsW5kO
1U0mlbdtG9Iis3AcjzpS8/typA2IEUsqC6knJ8KVzxis3mCGSRD9DnH9jKUqfxZWbA+nkAlBxbFC
qBVrePfIp8OkwkTuduMUKKJBdzTTyfBGTuZD0DrhvqIXvIlSQ+cgtZyh5l7NqleJMemhcylzV42p
cULTIsm+WZVLKH0z0KZsGlUxItNu5+0IbreTdUUuXrnqhJqZJNVm/dRmCPTu7KCiLOsmh0UHDUKz
cQxMQBdJNpnDpufyz+AyOoIw/HrqQfTJwXGBkkytc1M3tboCboXVhMbXRHxzTOy8aoR8HZM4+Z4Y
qtrUrcn0xFYt5Y902G6ERBiWceBL1mjcxBZMB6OWGKkVbVM696RBQGZx+2ZMVg76y5MeenhiXi8L
JIBVV9H5tqkirbhFbxtE43moG1D0Bv7jfU9a1NHqIr3BpCndNcAub9w1jpNdOope+dquOgcxiZPs
eyAbekSAnDCHx7jU9vPllNX1VhcFBiuzcfETNH6RQSbIy60pnYthpMBfZRJ1KyC5vrmt6Xl/cWQw
nDpSUZ012UMexlXg32AJBjNFmy+qE4+NV30pSB0nD7prD8IP9l0LCZVZnnyWgQovsBdxfoAFg2W4
DOUpcRYMjZUpmutpG3nmimWnZB3yjL2y7gj9u7WtKlwFZj+/S3YDNuq0e5A0XC8w54/rqYiCtVu2
3R2Fc//dZfPZO3HnnJj4vAg1wClE6n+YB3TJdte2j87oOQfao4JHV0rgy4EFCSwNgXFASAzP2rIc
AHCDxhWA/P5kRR2l4JRqpBNMUFZOmiq1GdJsvISv1l0SL2MiKo3yK+mxkC94vIZ085Haaw1IwtCr
zreifJ30hrVvsynMgNc0+XFO2+oOQ508jdxql0HQZRdzmLoXOtE4pfC0tF9xgYeb1iuDN6jtdrny
S7e5cQsZ3JWFKQ5Z18HMduuIKdto2O+QF+xNBErttsnoSzQkE7vbIo/dg+l19aNZIvAYNB9/BVjj
a8G4t1gRRD5DyfVjk2FiJq7LPPTfrJR5yJa+crX2VVcvAh4sbF3TPTQ2bq4xtuqz3/njVakybB1D
nmGL9lpBwSUSWKRmSvSirJ2OM5ctvkGXzKZ1BXH30XdTBsLeUMQfUdIkyIcM5zLTNU12WfAUrgbG
EmygldbPvTuJreib4N4g0cpkAYjiZwFzh4Z22hMD6ifGtxxPXEptlqFbCjN/nwS1APXnO6dwHPLv
vF91RsjN5G7WNHDnemo5njGupH2tgg5fyoANJmsHL9s4MerylY866DaIVbATuPOe0Hwjk2rK4oUo
Eo4adZsPDN/baOhWtGVLRbnmxHs+quHSimMiSkUaqdtUObglqtrHEEPsIyuVXY2d3NY6UelJZIau
9rpTKjoiUDTjDXNGX+6klVjXbV27X2wx4O62WzOfdmlfLINu6MzESNoquEgZ5RZgasa22/SMkJN1
gMGQiRuVI/OQaVDPQ5eqbKOYrVTrdJbRFQMFFPU0LpIjd0jI7MpOO6blgk1tIAGKNpfg+reBpu+K
pljjCCrkk+smzR3tu5bkR+qhu2xymZ9bfbw2bFNcpK0X3FijNj9S+gZyxV1Q2lv23WWqaAPhWeUU
0/cwHtIEljZHgtWg2qTcxikpVxvLoIQ5B17RR7uh99yDkHbFaD53GSxIrPUOwSOyW4ITWsBofApx
vB7DSux9QvjupLTrZjOHQzCvqlC637MCWcWmDA3rMfSM6SUNDPM9CKTWoL9o7KCKUh0MoJE2MQPw
BtyszLKaGUiXrBkCx9/tuErvuhmOwBTWFgKPtJ3prAQpgMRK3Wq47hslFEtUCa9gN3Fqy0CxEUYK
gCZgndJ5gPehjV7CobHvzJIjxpZTb2hAww49uR2xCS78FWl8x980c0bT6hjS3rFXc99UOyMqx60S
Do+Jy7684c7W1rbJzOrFCZvaPlPeyy1wTDiJtT2eK1PW07qsqwFiRK2iBAE4uYdR0STnSObu0UFD
e5MjAlGrCc8iIQ+93YDTc4agXwteMn4Eas17spgLPdV4jtpNgzf1eyUhQipHMqOQJkN2GTWa8SXU
fqERtytF1HSH33UL7LKO10zgUfhOsTLR2tGK1zMsUizNubfyzLh+SaShLnKiOTjgWzNxlJ0Vfp9c
EU17QlLFeIV+yHjA+sCrBEkLGoIpFiUZNae97xwdnSru6bdJhhyaZ5gkd+zcEL4cCCkXICZKskxM
nLlgWZy9aTCO7BsQ+oI9ZBsrIlB8O8mJB8zo/rlZktFZFHobVkh+9NRqwhg69+SiwvrKOYAwhjws
yRZKHYOHRlZQF5l2YLRpMNIC9duMWa7vKlejIiwcCXg/agAolY2Z3gpzllurhiC18ggsvVjm/ltO
cNHW9qNXzqnh3uSZ3Fa6YwiENeCbrYrudTJND9AELlUC0eyc0V0lbuPZascV1QGilgpS6mwUxXqK
u/FhHKPzlHTWs8Wk/NZLF12LPZIfF/neeArQ7hzcWsYXvl/nXHc/PQUJWAzUp6m3r3LT/tKoGadH
lVb+ckJHkMW0NQXz6Lrgkrs44zSbp+arxxJzSDmWQuohEOcK6dCSdOxQHCtyr5CMp1kH72OWR6BQ
HKKZw1cPFZEsO45w/tkHgHLvzhVtVcbd56qFxDv4VTut4gxnYGPUMU37gARf0oaCLZKW5IFHLwKK
RJ74mgZzzfIYp6wujH0Ykpe4J0qCy05OlPjn3rV9KDtoPdKV45v5lWc4+pCkiXOd4hkOULdnUJhk
E0/07Aj+SEwtjlERT3BhdNbdT7ZMHzFK9+fQiL03nl3rbCET+mjapN3BdolAstpTYkDida0vUJY5
1Vt5dvQaP7sSJhKZFUQbd110rFepRmy20kEBaKOkpavLotjDQoUuCJkItIlfb5CHjBeG5JfNBS+y
QrnecGSNaR170tFfFFtdwk9r5G7J/t6kiPTvIxsyX5doA/qwrm2GKoCPIO1mcFQde2TijEoD1PyA
ltUVSflgFVa2892e6HPX/i4oBtmVcQy1m1Eb3eXkjgKBsqu2fZ4H5Z0c3eHJZ1Pms5wbmvKghrv3
3B2n9X9RnMs6Kh15cCYM2MzWx3Fj+hnoQsb43g3NVmL8JBicHxHg/5RG9KEq+N/fFYjuP6pFWNn+
/h/9C03EH2/xrwpE/9w7W756rtKye6j+oCL9h/7Rn5pwf/2F/lHFqb0ALn5S5X++qU+96997DfmC
LFa/I0i18EBbpmu7rm1+/kHxLqsy/vFl4f+yaErhQCCxX/78qm79zTX6W1fh7/+CfxTj/vF1fvoF
3ihau0XEC0Wu/G1rlWP5P3YJfvcKf7kENi1Tz8beFPy4BJgCfnsJwsVhQLfC8X69Qr9e8v/9S/Dy
DkKaaqhT6Vv320vghDZv+V+6DRZXO4JGNOb44Zc/P98GAV82AZMQwf75g/6Nfnlk0Jj6XUAu/9oF
CH7xab9TIYC1+eMFEOIXIhdceu4Eoi5/EFfz8/6droNDAva/ehHCXyxy5xg3/PwE+L84kH5cExzp
559/u19e4AT1l8Duf+keQCbPk27zOAW/fsjo2n+7ELi/mB61HnFrv36Zq/Rvdg/8P+au7rdNIIb/
K9Ee9hgRSIBqWqUsk9aPJYu6Tnt2Axq0kFZH0JT/fr+74yiXkE8jLTzS1Gd8ts8+f6FqCU0y5fRC
FiFcr++jmgqTuiutj6hQgxDQBiMfITEXFqt6ELK6LEJIfnA9tlJ00eoDA7NACOv7g0F/dIXzIAQz
6OfSvh+dsWUckcUEA6ePvmBhEASA1Nh9mARDB58+HFSa8uKOBGR9uVxViGoalNE4smxG6zz7QJR2
kYPMSRdumnouTxfoHjlsVQBZ90YQ9qBSBbYoXA0wFwn3uYiiVIS4NFHAgKIh1BdLFFy/j9A/NCJ6
zKvHZobQgT70YUMadfm/jOTdFiJQ1xyqQ/+113GCp4BDIQQjjJB5YOmDMOgje0omL5wuCkfYT7U3
NUnSLFLOVhoXjYq+gz8wnsg2gMrDuI3gB8GNsH4oq/006Liu/ru2CKysv8YfjTWo1qn+vfrA7aWt
tcxXmZc3aSxILNDsTy1doakrCMcYaoHuj3NBUVxYSSYoB4RwviP0+YOFbkMG9sIvCntCmkwB4YNF
ehkJA0YSXDstXGxvSKw3qym1IcyGnOa0SChrpTSKemFscpe4ozwvex8pf/vUu6ciyVOLQvDFpLvN
XeWexBK3FS9kQCl299XVARs2+DTbAKwsDy7g7/RSJBT9jeM3C22Z7WRetNbj1np+H49PKUrW7TIk
s6n4C/yIUqBv4EiCu0PMEzQvzsd8XkblIomFWBtYCrjvySJ4LtHn5fKZngwcDRiGtHlxPtYP9EyI
pJB1ceMG7rAD2D9TzAu1Rjp6TjjqYA8fKU+z3oyi0hBAUgROj4+TlEvqXytMR2pTLZW5woX/Oy5W
vS8xSs0zg6zCXtsBXOhTgjKHwloJi8cru5sL/Rtmhgmybrhqf44N+9XCuL434MLFqVx3QJmli9cn
7O5tgVr/qGjSHzepaMHcAdePRbncfTwh4jZA2qhZ+XzB3T8wtbaLzrM0HoVs0GntB/CWrTU7kN6T
emQzP2SGLtxyqw29paTpa0l0AGWriv2NTJmoT+M/sHFovbkLuFL1OjAmv8ZZkhoSvJNF3tZyJe6Y
jkNM4kxwYkUpOqzbZra+cO5AiCdJQqtVWmytUF3jdSAG6pxBMvomd1YrdKAi7nAU7ITfAQsd7JjC
3ORjk/WZy7Tro954GfV2cjJaZCEeESK+Abcb9w/om3VIbtr8zTpMse2FmjBc27/ZLrb8xSKLSVz/
AwAA//8=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strDim type="colorStr">
        <cx:f>_xlchart.v5.5</cx:f>
      </cx:strDim>
    </cx:data>
  </cx:chartData>
  <cx:chart>
    <cx:title pos="t" align="ctr" overlay="0">
      <cx:tx>
        <cx:txData>
          <cx:v>Total order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Total order by state</a:t>
          </a:r>
        </a:p>
      </cx:txPr>
    </cx:title>
    <cx:plotArea>
      <cx:plotAreaRegion>
        <cx:series layoutId="regionMap" uniqueId="{37C44DBB-0AC6-400E-8672-4CDFB0952067}">
          <cx:dataId val="0"/>
          <cx:layoutPr>
            <cx:geography cultureLanguage="en-US" cultureRegion="IN" attribution="Powered by Bing">
              <cx:geoCache provider="{E9337A44-BEBE-4D9F-B70C-5C5E7DAFC167}">
                <cx:binary>1Htpb9y4tu1fCfL5ys1Z5MHpA1xKqsFD2bGd2M4XwfEgUQMlUdT46+92hr6JT/p0X6Af8NoJHFSx
KO3intZaW/nnw/yPh+rp3r2Z68r2/3iYf32be9/+45df+of8qb7vj2rz4Jq+efZHD039S/P8bB6e
fnl095Ox2S8EYfbLQ37v/NP89l//hKtlT81p83DvTWPfDU9uuXzqh8r3/2Htp0tv7h9rY2PTe2ce
PP71rTZwl7dvnqw3frle2qdf3/7wkbdvfnl9oX+76ZsK7PLDI+wl/EiESnLMKfr8g9++qRqbfV2W
sIyUEEyRb/c83New7w/N+GzE/eOje+p7+BKf//1t2w8Ww7uXb988NIP1L8eUwYn9+nZvH8392zem
b6IvC1HzYu7+8Pn7/fLjAf/rn6/egG/86p3vfPD6eP5o6d9csG3Asr/KAZgfUUEJVUSqLz8/OCBk
R4gToQQhX1b5t1t/8cMf2PJzL3ze9MoH2//+W/kgfqpy8+0o/oI0kEeCUaqQED9LgzA8wpizEPLk
ixfEt1t/8cIfWvNzP3zd9soT8enfyhPbobh39/7bgfwFviBHQhEhMFE/pgI+4ipEVEI6fMuUL1n4
NRX+2JCfu+G3b/DKEdvjv5Ujdvduubd/YWki6ggriRWDmvNdTwjFEWWIMMTkl1x5lQx/wo6f++G3
ja/8sPt7tYdjaNBlfm8f/8KUoEeCvySEpF8iX/7gEejSXDBMifjaQ9i3W3/JjD9l0c998t3WV145
3v2tsuPk3tl7f1/+hfmB2VGIESOMkZ82DXGEAVsBsvrqNPqjV/6URT/3yndbX3nl5O/Vxk+e3H31
V7oEHTGmZBiGkAI/1iyGoHEw/LW/v4Kzf2zH7zjiq/2vvfD3auFnT1kOblj+QkcAr+CUQ00Kvwb/
j71c4SMShkKG6Oe9/E9Z9HOXfLf1lVfO/mZeuYdGct/n3v2FfsHqiHGCJOXq92oWkooS9hVivaIb
Z3/Opt/xzPebX/vm79VN3nsPWsGFu3986vNvZf0vgL7iSBEKnR5/cQ7CP1QxiaDPC8rJNxjwqqP8
aat+7p9X21956P3F36rf3zz1/o1+stl99Rf6hx5JKGocheGPjgmPVAi0hH0rdq/S5k8a83O3/LD5
lVNu9P/XTvm5qPO9dPLDJ/6v2hU5glzgiMiv+Aua+vc9X70oKwIYI/+STeCz7/niV4np9635uTu+
bvvB8P/HetXva1m/SXsxYNvksyb4nZz1n1c/fz2QKV9t/U/K1pez2j/++jZk0ECExIRAOkDJwgRK
1W/K48slfzjr+B6U0jfAid4c7jOonLv78akyb/4b3ojv63v7eSk2wzcP/e4tnu57D3enR4SE0KQw
45CMYMbbNxMkPKygIxlCgvIQkAdiQgJTso3zOUid6ChkFEgULIDZoGu+fdM3w9clxBionBi+zssl
5W8i7kVTLVljfzvKr6/f2KG+aIz1/a9vMYV0b7987qvhUlIgBZhiwQgHfRXWH+4vQSl++fh/dWkx
FZlYWZJO74elOVPXeJNtcho5o00aySIyfIP6S/rezloN0Vq87zuzMfVNOvvYpEEkRxahsv6o0jEu
811e93oINqF027GVOu3rfS4/LTOL8zYr9GBuhukjMT4JFic0Wq9oG+iJLOc0dxsaHLfy2c1RtUvF
9UgO2WNuK2356eJLbaezxg1RKp5rK6LSEZ0H2mCx54WvtUL4MNY2XqYgqvJlW4uy0GIeopkVGx5s
kSjcpsA+i5qhOsz5R6tWLez0CSn7vvfoXd2teWyyUGpOlzbpwyJi9sFX50KOXg9j6TUuek2zSVd5
p92ip5Bc4KK4yqp1T6nboIXsAlYfl0hUkahP6YyLqG/b835wpe4yFw9BkIgCXVS40nNbFDqgzRMf
mI1sx+5QEWzBTcnYZEmjMl2k04b15WZhS+T8HBfCxVXZn1HjL7ygB5zShzIUF3MDtk7LwnWLyYfZ
LO+bYN2QWiUZY4UuJMM6F2GtxQhXzXJzkdXtoDvV95pJc+j6KSrms+/S5mexhaHH/xhbkHcoRCjE
OGShEK9iqxxRP5smUMm81u+dD5qIsf5iHvkun0QC2K+Lq1Ac+9Juq/ac1/OWY3biaznEC6KjrvvR
6jRVe2GqXRmgjRmmjSvKVA8pvaBjs5lnfkUZd7oo+rij5qSzJ2hgW9faE7xscCATu7S6Nes7XuU7
GU6Jw+rgwYXtYp6Z45e8vAvgmNOBR8bVm6woNxnOI+d83E00bor+VKowJnMTZy7YtSu6cNxtRsou
FqROBcvO5mXQaq63de6vizaNICS3qzpm+KPgoy7W4bgT6wE1k9VBk3U6DOdcK4jKcrGbdjSn0p6F
XbUNUqd5LT/VftlVFdplU59BLvUoKof1dJ19ImV6v7R809hB13BBPSDT6wAvx1AubgjJDoW9Js6d
uZTtejxd2/njWvD5pCVLExUWh3ddSgcd5NVtUNAkb/FWFBAik2AbLNSuo+4RzWDjWC/n2TKkWqYN
j5Wnw0k3dboV68f/HCYE6O6/RQkNFUXypTkqBr3v+wq0NkiWbrJpIpryKQuGmxSOL3X4Y+fyaB3d
MQ7dZZeWh3UYz7Pe7YtpPhjDNC77buO78LTkqoiLvt27VZ3npIba5S97qWyc+/KiyMfnlts/iG6Q
3F/ZLaByQ3xDAYcGg5FEP9rdt13VjrhIky50oS4IPU5LMJg30TyslXYV12mVy62HuthmYhfUUKQ6
PNyTcDO3dtvl1aLDYOXaddMatWEIMZuRpCFmFw4F0URUh8WMV1BYt7SaL0wxXLUBfr/SLK4decz4
fFWzXqdU+rjJndepKeHGwjfJLCWUxpE8oyEfdOZ9cErryUMwtl5X7XSZj+PFJIeTVqSZNsKe5WNa
bIRQH7twxZqW47XA1flYsVUPvH22QZEnnLbXkw+eVU6rSBrxLILqqhfFbb2arRv7asPxc1uZbT5n
kbJgQdbtXc/0KlXkc/5hqvGWyknp0H2a8mC/GKmbekp6rDM0RWjMI1PyG9sSPZl8x9I5qbk/Q4G5
6D10jxaRuJBqF2Bb6nwYbgrn33eIQB1nt2vZvc/MfD4Qu8bj4KM18DtadFGXoR3v7BXPpx3KVm19
8ZCi9qrK/fFAaCwI5HvBY1HIi8yifdNOFxOTMankVY3JqIdaxANSicIqMhnfZDnagOtPEa6SaZyg
y5ibau52YzgkPmwjvpyh5tSna9IvfONVFVWh0bi/LdarVNCoNDLOhxPVlvvCpjcOjnC7hJmJihRv
OltvZbkm+WRr7ah/LvM8mr24GBCLO1fcdfXqteoLuyOkQtFKWacLEfqbog7fNRl1Oui62Lpp0qod
LwwvHrqKjTogz0bW+zRQN6yvdBo0jzILNu2wWt006amFNNRqbC58V+7IyjdF017Vk7gss+KEkWWK
11TobuVLFFQY9vtYNcOmL6Y4zXoLnem2INOOzvOuHnKlS2tqnfr6Pc3tbdbz09nRD5WXjebilq/d
9VwPPoGo3ndp+LwSepIOuUimfhC6wtnJMotQD35ZYpfJKuFsPS0z6FqiOa87gBehQ/esX6uETO6y
oct92eVWl4O/RRXNNbaiiYxaLhzz78dVHo9hm2uKTBKU+5LwDyLENvJ4jkheXONe3A5kOEHz/Kme
V6UDW8W4ortgmuMZoYtaZHHJ0w+1n7R0ZeSYuhRDcJaVd2u36kYOkUrzQz+ad7RekwWinRXt82qI
XuDE5lldzQu9IZ3ZNn7dO9xdpsGnsZTPakUf52zWGZk3eFAPBSOxqcMxyji/TNVTHULLUAkLDk4e
Wnzg9NwOl8VoLlxQxwNttaCX40K0L+T7eu6jElBHs/rICqrHdo5J8VSaZWsnmZT9baiuJ55rMzNN
q2dl8hiTuyG7CrN6K6TTkr0LaqezfrpsBgLhEpwV6HImptX5eorSSocL0x56lBFs78INZ3VSmlKr
QkB/OMfTg+JtVIf01g9SiwXyuiS3Ul3U8xSF1TuUDUZDrbzpUlJGg+FxZj5Nfb+ph+e5aKK6VZ9m
SquNGvtPQSt2xmW70uDHcSp8NKi81mWj4qUrM83VFJOl0141cl/kZaiDUfWxzOoPZgmyZCYLewwc
wVoGMm5oKDdTs55wZ6/zrAvjtcDXqgzummW5acr1ep2LizX1YTS2zkTUUrbPfFkltpI2CYUd4nGy
QLjWrVzDnQ96LWrjIiQBTmX5fBWwLtMOtcmEmK6L6d4LgMPY7cWU4mjwVq8i/FSP47Ga8ie5DNfK
tm3UFWRXFEsWNz1AE5XWZZKGqNAkSONi9NcVXQHa1QkA9dOmpc8lqqICbzMvjhlrYty4s3Jqofqy
s7zjh2XxW0k7ErOUZhvHllyziQfx1CkTe+6CqGfKJ1UZLPq/8jUlVTgATGu5uihJgTQgsGuD6lu3
ZlbXTV5CNKSXNMfHcDYmSdUyatKmi27C0EehHQaNAgk3qcXVZ3TwlSZ+RZFfGMtD0y7OZPnXJ09+
e/mv66aGv58fk/jfN398CVf4eskXPvfDi3+jmr9DJr889fI7i3+OaWIEfz7D3N+nl//tBnsPj99U
ryW5Fzr2vxf4Qh5VePTCWRWIoATm+ZwCc/1CHkGV5kyB9MkBW2MZAq37xh1fZFMl4NOEvKApAnjq
G3cUMJtDksNsjoQvegP5v3BH4KM/IiCJQEMKYZzHKCGSA8r/EQF1QCIWQ/Jx74zJit2w9uV52PPB
xzSFuq3neaiKHTzFBMkRti732kg7dHET5mQfSFYkMEh0+zW3XJxhVM6DHmcDv3vam7vVtKrTmZwX
l0BByo7XRqiN5Y6gxE2IZoeG89oA4VraO1Gh3MYNNtbp1eJM6DKre5nAoyrhh37KAN36cEJatmOC
lok4MIV9atelhEzrGCRp0FhfxZZkco3WSU3vFB4Ks5sbN64RmV+oXTcXbuvqdaRQZewoLyjpxlSz
tq3raOE4O7OIsnd+mttUl90YAkYtppZHXdD1RlNZo+fcoGZNukwqHzMWsEubp6zaQspntx2ryLAF
jL88UBH4i7ao0rifazsAD2+nQVPHxvu86Oc9lxx4dt0Kc8cC0e8A78s6mhqE3s0TsMSpJmKPMdQb
akFO0LKwRGiKp/TaC7Lc4imTXtuVpF4T1JgdkYA5I7q6Umi2FDVP2j6kZ6TG09k0r8EJratw263M
rAdq6gFfEddQrKG4dNmGqZaqm9Hbbr90eY+TSqEOxAKbkW67zDhoKl1l8ODYvut7js7ly7mUSbfS
Xm2KKszldZ8vqNLeuUKnom1vSU9LgE/jy2Hle9BGoFfbdkrgMuyEKtbtZCmBpOB5thl0m3zE58Dd
M8A5oQc6OxVdjFPbaTag+dIb9Fws3ZLYsiTR1JN03wTDGAVtSgB/YwIEsF+icUnXgwrDXNfUcL2s
zG9MiRerAWxzozMxsZiqIbwa1byfAI23URik6jiohjphRXrVFzI70Gq8IS0tolLYUwfxEUnFH3Fd
7+3o9tOc2W1QoXrLe0Wi2RYmoau3Zxmh9lhA2FzWIIrsxTyWUUEZHF3XyW3NaqxV0x4PojvNs4BF
QrJSr6k8Yxj1Z5I1WNux7k6rfArBqyx/ZIDJt5LZ+sZ4bg8jLfluGEkRZapZdKCAG/Cxz85L2YYJ
rYbmMnSsOTgLKIKVfE1WeMyl0HOO0vdZNV+Vvu00SDHZfhmmVXdh6I5bkVNtVJPG4UwDzZriU4ML
etU1GKi0zcYozEi6EWnFEmanUmMQt/SYApTGfjjrKrF2Os1RlxQLH66rvL2A5rsdZ7QCv+UYoFaR
+/M0r/qIr4t3ETc05nWhG062Y+eibBkvGWBxjcLgytr2aRjMRTlhr3mKy6TyHrBQ0Yfn3kOWZTIY
4hxWdDeX9pZh1UIxotdshPhf6gAoePpY4XyLB6sugnVFT64wEOlNC2wpHDSehNdIBY125fwcWn8y
1DmKuikAz7e0joK6XAOd4kyv1eB1lnK3TWkVaNBtws26NP1pkQehtn1dRTVp5mgKgR9UC19vA7B7
UxRAHfKKdVtKi+lM5iVBkQymq5I3V8KnxXHF6zBSqBo3AH7DRLKZJSWd7TvXmz7BYZUBFKvXw+rL
gcVLPYPmAmqRLsdgHIDoEIpAjLFZvFRdMGqUkuWDKXyjF5pOB6XKNhFlWCYq5/zBd+657SiN0SC7
41mkdJPjSSUeMxOJcqwvuFoEsMyeHM8VLT81rbUbxIsAvvzE7QXzKIurEckdRAJUQh+gPuFLJ28m
RbLHthwnA+OD37rqT9QnwV/xcwnMHMGTciC6whNAoC+86A7fKZtN47q8yFG+l6QffZziCVgcPAS7
nPe2pu+nxjOocY0p44l2a62tG+217YIlcXmFH4esU8Xp0kwYJ6Xn6y4gIkXavXg/aiSGNjWhCche
HqayS8hgaqStxPmeD7WczmdWOacBU04fekHLyyVElla6VGLkJyBIybN1HcqLXIKUyLo27TUqKPWR
Jx5QLyWB0DwXN2UPws1oy4WCbBRwrlEHV9dpKKYzlZb9fprCZTtAfT9Zs2DeVHlF9ErHecfnUB0D
UgO6QoYVsH6TQdqn/oMqgjYWU1BoNygDNo6VAx7EicYBLzbhDH0LWBowc7a2kZjUuuykcEFT6xFP
Y7UNMRFGzxKNO4cWXp+GzMhEOZFpNIzBEzz0sBz3PWH7Kmu6FagSCi7LUrTJ3Hh+Xi89vehpnl11
05Ks1JUbY1oOhG0dCj0WGPidqnkkh0Cecy9ADwhaGo9UdpGvunaTe9uDXrD4pEW539BMXuVc2qjn
H22xnIzK3zceb4e8BQTdI3Zoi0/j6C5VgOVpg3Mc8WB1sQTR8DJHpYryBg4O8EZkB9RBXZlYsLNo
MPe44ySpKzbrIRyPfWAvyTSYQ57WIOAhKi5GUClClvI9tJUyQl5UH1zYNqnuOe32aziISi9tPyZt
lgZa1c7eFsvcx4i0n+Yp56AzMqX5quwOQ2yed2GHr0BieAgbNl82OWQenYbh0HveZxvA2D0I7itP
170cMMuO7Zgp+1gtrL2tmGgGLctQsa1iIz+0azsSKMqczzdqnfEQqxq19wsR5Z1Pa7Ze8TQgFuwL
uyUSKuvuMM3yg2w9PZjcik9TkYa6bMeBJhmnwFbzsjdRLcYpstjzrQqQicMcqCqpC3FFaeAfaEWA
+hNVXxE7D3kSZuW65ZUco6ob+BlIn+5saAY1RikMIT6C3pldIubZWVVAvem6Cfr8MGWxYLNJhAjk
dVeCfM0MFaCcQVGCdjJneDehrjo2UxcQ8CbOke6roLycbDdNkZQtNQlypQHptKo9CPkAOPoEil3b
bcp5buMMKlarZ7cOXdSnS3aofabgOEkBbT9c1wTboLtcmqK+gdbCnoZGDDuAXh7oPG1YRNuuaHRZ
kBoSYbC7dlErVD9p5JxMA7YfBC/Ks3Ip6aFh9XiZFUrdDj3F16ZmwaZzaXa5BsDjQJFw9grMKK/x
uoJ3OwOtaWUVOhZyGk/yjoGkyGUfnuZlNdrIqY4nIm36hDhyt7TWHOchngqNlrK4q7wJb5d0eh7b
IUARxuO4w8huyGKgdU284NuyXOaPji4u1+k8dLnurYT/VoDy8Qq3FbtN51C04NExbYH3EQmDoHBc
d6Os6UfQ2FAMTSm4E94Ulwan6r7tu/kas9meFoLSUs+W9IBLLOY7VqCxShiqSKZxUw4bQ1fxMAhW
7Npg8F1C55XMCR9KoJC4MdkUsdkvH5F0wWFCbU21TQuqNLFpeRKwojtjQzjFaCXjI6rdaiDnenmD
LQL5s1AkoCdNSTJgGgRlt2SYlhTkztnUURs4mDd5aBZ30rn6ik+y3E9pSiOWdVkk+4EFcc9SqyKu
AInpCYSEYyh6/RCjZZyruEm7etF8nshHEPmWcjezKf+0FA1JozqtxrO2AGGuIymoJ1UZ9uuJBIyN
cFu+aFlQXjZ08uEjMGB8mhoxHOcFceU2pGT94F1O2gR73O94Ngfvbc9zGPFY+amZsb8aMVCo+SUk
gTyVcwVBkEES1k1hIOU7iJHIZVacrmOL94ZiBfxnrqcMZJqsrkDSYdmF52q99sgE50sxQ7EPUc6g
iq9V8OxhAFXoviaq0n2P+GFVRgBdqOh41q12uFtzSj9lQb/0Gwj57mnxWbnHnUjLqDFddmtnk6lN
mYfZfgC+8UzMOMZ5nVVdUntjcdyZcE7SYCxHDQOc7gOui3WKAjvXSRUgkAShiU6JKiVIFaCqzCWM
Eld/0rtCnRcyVZdwPvYweQyoU/Turu4mnMiUWhs7AC9tNJuuvat94ztdSz+4KA0MT3A2zXvHgmlL
a6gAccE5aGNF2EA8Fu3cnDPWmvPBkGzXBbSXemIZ3TlreA+SbTXOmhalJ1FuWNiApOrVh8oaXGve
hO8xzF0+AY+hjS5mw5ju7CIWCAXjDm6ZFxwZr+aLxU23MPi4GgPfXddj15lkmG1zPlQINRdjOee7
cSX8XqxBCEtL5Q8GpMB9x6cyaWfS3w4d7Z/nDMk6DqZGXjVorq9WVmQflqmCTlSOYb6vXZ2P0RrK
/CSzII9vAAiDOtkowjdDG9h9nhVBhA3N37tRkOPFUu+OS1OhYquGYASq7eR0sCp356Gcx5cZ53op
TD1rHrJ+H4pR3sFDpvOVA7g1x3gO0j1QJZFt8EyrvQW86WAcs9TxOkB0RgRGTuF5h6sFEgiUk2iV
47JFMFS7Hxfr9kOHmgPC5awnFS61Zo7BYADYEiCwvHcw+lJdMF8Ebqq1qfj0ENLMP2ZtBaLVUMja
wZB+fEGsUCfugc6CTA8UPowIF1082oCAAMGnEGBRsXzIpgIkazhiZbRSbQFcus2nPq7HEuBvB4m9
RNm40jgIZbeHkZ2/ZrwqMChocwPQrKI222bBtGiMWXcmAzZvqw701UEO823b0LQ8r4NaQAy7l7rZ
GrTQGOo5Pen87OuLtnSAAkZgwmY7d2wBfBE2q64UoKKlzUmTUNNOEMwVTKXbzmcPq1vpSS9liRLZ
zStM3+usfJn8SHfSF1WHNJ3SZTmeqjHI9jJULk9S1iwfWwWwDQ1F/X7uVPfEy0nuUaDsDedl/kHZ
cVj0SNC0nVCA9w1mfitgTr5fbC5hZmKH5xJPCzBiygoY/9e2mqOul2O84LTf+Blm6dCSuliVC/A4
BGSsJiHQ/AzEFF1nIX9gYdYPWqiWX68KZiSWAInMlDgOzcg2S1XRxPZqvRrnBR0qUGdiEpQN6J79
vEQGNODLXqj0oVlhDmS4664qNC/Qs/t+2AyND4AvemouVxClNv2cVzdMBeOhKtl83bSh3QN17AtA
sw06N+EkY9BY07O+Qvx4hIS/XjxAfxdUyy4LZxMtZrbPjQztOSeOX0PYAxIu2DE2Pd3POPW3mR/Z
SS3wegKzsXmXczrshwyGDbWndkvKTvchvwJM7t5N4dydFFnGTvOBNrtSGHGHwHOfUlpkEXAgvhkN
c3G64vK0HSwMtsIlApmK6byv6wwehQCdoU9J9ixZ/j6dg2rHeJvUrqJbwHZT1ADPTBbK3alv/Z0a
Vxgllv20VblySd50ZSyFAni6yhsFBevM5u205715wGGYvqgVZUJd0WpPOeABMhyTPDU7kfnqJJUF
ib3NTZThufpY0Mmerf9D3ZcsV25rW34Rb5AACICTGpyO6lNKZesJI9NOk2ALNiBBfv1bR9fXV8JL
pcoYVERN7IkN4YDYG7tZa23W17uEIkXA6zBedBWbLqayFIdgkuUJv2c8CcXQKE/SpMPj+es0Ljp3
UZ/hU5DFMQm+HxAvEYuiiJ+zvGdZXAD32y5wJJdkVgRh5zlKk7TL7/TSsmUf4wqte4FWzk6jE4KO
uhGXS0Mz+9ZGKLgizk4EPyNuUFvFv6jb7x1M1tsmEvYSuJW0nMfpe5HQZXvQM0vGd1K2Eb+vwkrQ
Y701CxoyHfI/LsspOq4z7Ltg86fFkhh1spUM+akpE9TPaBE3/Tceb4Id2BjEn/uJ1PdJkuHkOa2/
yD7YUJY4F+SaZY6+i9a27Z4ga/yM8kdwstNEH8m8BL8PRYbA28j8I3BmRuyKPldfJkXZDi6O3Sah
QlFAzuFnOeS4KKqwD32HlucBldjkuG5hdc2A8D3QtaMIJGj+bumGbj/JYXovRLNeB9bSW1PneA7b
uD5RW38htAsfJpJfiSWSe3IuWopz+VI/VTJndC1RKg0qUhxRco3f66eyZ/5UAhXAf/ypnwqjhPXi
DyG5vLdxNbzf8i36zGnY97u+QpS/q88Bu51iQw55LtWFMrX9iB407mn9FN1HT5F+8hT126cMQM3V
+nvcDvCd4SzflU95QjR19CKzeNGmsU9ISp/SCVST+De1qXoXV4m8DDLyMY9Xc6ntkB+CDAdfbUDW
BGXSobt0zlnmp/RFnjOZ5pzT8HN2I895TlbYqTjKDe9z2a3JrowWZETn3Eies6SiWNRh0E2ckn5A
jfJcEd3DmwTfASVAkmXP+VZ5zryScw5GztnYGqC83YcFUjTUcpCu6aQg2yOPx+prTGr9LRZbaA7t
OlH7ueY9Dinu6vhu2pBfpgvjqIWjkK6/DJnm7R9BwY06FrHJ/wSmo+sBpf1V2YU8Ff1fGKwIBboS
JCboT0SSOKAf0/JypgWeE4VY61YHNr/pFtUfxoFWl20Tykv0bptln5kuO9qheydr9J4L26luF/DF
XvEp71FN24L8gApAq3dtUy3vkfV07YGhTvplaGY973JF+0e29PNOk5KhBqiWIxf2XVNn75Z6Gemu
WaL5JpLNNKGhYLPf22CiJ640v+RFXz2QJLYo6fPyivLoUdPiXUuy+6S20U2e5cDX0OwUhfkjbJze
hc12i8Qs2fOAhTM8XhgH6OtuBk92L/lFoXpAfSaOABVvR3gxa1Hf8zPSi3bRzI4di/MPERqIaT6X
gGVZE+S7jnYLam9rNd7BufT3chjtaUQkMx1i1JaXHfxqMh9jW1dXWx82/R6dRCDLGq7bP4QZ+3PA
bBBIxtM9QbP005YvGZqc5bxn8VYfkt7OzS6qRfa1QFfhq43Xpt0vTTecsqkqUtX0Adq2GRPoWZTT
qRRrftHKGCbH+MLx+wZud2tTzn80WZLg+TJhliITbtXBjslaHgoyNO1OmDm54OGQPWRzUnxvIpal
E+AMxyxrg/cWlRFUCoD0sCqer+pSLnsSqugOpcUNtxJBZ10m9rpKiuC3pK31EctNe2C32veVKiVB
nVf3H8M1gwXkVO7mZULNDJ2c4sSNwZO2xfNpFf30dSaR+hAUI/nUl017kYVbWOy7uYdrskv5sAFD
chgaRq9jeKk9Q/Py2KHXcFzyQtyLIio/tuFYwYsWCVE7iZO5UoBu1khieHazVluYclGEsOukpDe6
6R6TBG1XgGQQWz69RFsxsgceDPntstkaSKQhBIaqpO0k79sqM3Snz02k6KmfFE1ACu2zpz5TeG45
DajqbvtcnztR2VijK5WotayOvCXfo6euFQAdR/LUyRppTE+GLOJT/dTpakkQxLtOLcg+Fbx3e4B3
019zVPfUBWU8yu82raPweH7H/mBmsQOybyLROz9328puXsxODxb/RGZA+a1azHA51Ft5XJY4uuxJ
PyGu7hmSa5NsKDVNSVmVF6Xk44pOienjw6Ci7poainiif6rp2nN5t4qjL73UsdxN+YcqUV/UcDYQ
AsyLFeqqz7bt0s6JOOmoM+ddj2hkh9G1LdAiGoMuvtDVOn77taNycK8SoEQEFnBSLOQ0AgT2ZVwR
ojJfoSQqLpM8vsuTd3013Oj54emP/KPu9e1/xBhedqyfGs3/bWf//9TjBp6ZIUz7+1n43xDq54z3
v/raf/1Pf4Gixb/ANISSA5ccmHf8+z99bTB2ZXTmJogI9BK8Hugp/6exLf8lpaBPve0IX43gk/6n
sS3/xUIIEwBvSkFIwWf9J43txLkbZ/qdIAkDAw/YUXD0HGSfamPdYHt9qoZiW3fAPU4fzJwvX4p5
mt9Ru3wwwRC8h5mgzlWgYXW9MuBqYx3lFTx3WX9tqmH+NvSdusyqxAA9wuP9tiWocbEJHcVaxQ+W
oy2J5VF+Qw3hPldN/aPkqLmakR+WLQmOfTlVB96x7l4n6Nv2JO9yAAjHz6g/Nt86yasDktwZyUJV
3a9d/L7q6vm6jigadpQvn2jJw2NYbhmQKQmKv9XUPXZd8sUGeC/RAO52bdXbIw9QHglbO+wsIeow
jnrYmbV/DBtaIBG3HVLlKXmvbVAdDGp2jwwFzOOYl80RAFUCMNQUX6is6tMpTJbPZEWvCf1VQIsy
3d7AExXfJW/gsFeEzKaV44fSkCYts4zPeGdocmAzFepQNjZAT45n0W9VWaAgzWJzDHuZ3CyRXZAj
baZr9iPS6d8QUQGNVCcxClg9m8OvXSQSNLE0qqAyjwZ05ub4Np7mp2JuJT/JoB5RSY3w/FGJsvhu
A3Jt+XfL6R9Z+8/t+CzZ8h90y//5v3MI6Y/uzIgeXa9x3s3fa/0/hb0A1fRf2ZPn7IfoDPx+3Ru8
IK88eYPzf/8M4BLBqGO8QGAgcxAd/g1w4RKMfmBekAAC/kLCM/TlL0dAxb9C1JXgCEDJpHAI6Oz9
5Qj4vwQP4T4kYC8w3yT5R47gJTI5IBEDbB0J39k/PMs5x8xmXaUSRHXRIYnfjTPUF/7+/T/pTb62
rtORREwx87G24jjF8Bq7bQPorCDc/ltJ5t9CMv9geSdVLkVQrYttxbEY+mF4v/AtzD/kduv+/PX2
XybC/z0W58lMmg3RZpXxI0qKI/LeqEnCXUHLONqFLGzIjtF+yk6//mOvnRU+/4tvgG9fLihpH+1I
Jd0Bi5SjU7ly+Qb8/Iwu/2+68t8f4/h4kfShLtEDOppIs9soWljzuIRlyG9WObU2DcTGh12z9vq9
1w+SuOnPf5CWoZ7F+Q/OdSLsVVeYzOzZaAp1/PUfOC/0k190phM9/wNSbUs4GRofl2oUyxVHJ5/s
dTWS4gZ1v5LcRuiyVKjkoUwtUNFkUX8K22IeLn79952Szd9HKh0gvxbNWMXjGh9Nns/9Ho87ehvA
g1e0B+qjzxckI2YVAfLBHLAMQ7pOghGRS9KADu1hYPJ8c58Zbp2vzYxKMY5AknhPh+5PES/qjd/3
yo2UjlfoYKmLXKf4uK6j+BJ2a7fLZlO+89u64xtqWSo+0gHFBqrUjxDyXjdtoCrzRhnrtc07vqEL
FuRQSLgAhhHzp2jp2c5mm/DzPNLxDEO9lFoTtCUn8I62Y2iDeThw3XXCc/uONyBo+Mq1LuENOgaY
2op6NdotPUzp8Ovjf8W3uVSlJpnRGjW5SJt67LP3okFh5xNgIUmIrn+RiAcw7yi//PUfe+1jOL6H
lGvQdqMO0rZbwd4CYqeYgCsHscJrfeG4mlGGJlxsLNOtA2Z4zVmA2E5V4/DG13gZJ/9t6MLxNAlq
wLUha5Z2gdya0zJEyErrZY0U+nwFe6sG/NqfcfwJZR1qAzoQ6TQZMl0Azt+GR7SVa3vUCiBLP7sW
jtPoUR/IqG1kqgkA4NWwohAkePLh19/itR/heI2lsjJaEOOkJACeoR4HQW9ytnb95yqW1VtV6ldu
1FlS5LnjK2SuKym0TIearZdBs4XvEsTB9b8j3H8aWQjXe2RqDXE4PDWiJxZAJcu+8q3Tx1+f0Wu7
d9yHmUUnJPTO0rnGF5hQzzgyEwjtuXvHeRhF27VeS5myca7wDVZpg90Yrmrz/AOOPVdJEPeJxekn
UdO3lzqKW/AMS7Et914HdI6Sn39eQVY6RoHlaTIW6pOQI1iUoFatfvvnjqGJdYDcHNhuqaZsUhfT
Rm2yK6pmCf1MjDsmBkJqzycyiLQac80uATSY5a40bHjrbT57np/EPtyxsjUv87BZ8In7bNXDocyp
EPdNsM38KgfUqTranKztl7qR9DfT5kv7hid/LebhjuHVNs/Qxl3gCmtZ66siGDOAhzfUMtVRoqjK
ALKeym3eq4LrBtCjLReANi20e5zDCZAivwviGOiacfStqyBLGwFwK1WLSKWo6Rv3w6nt/+3wOXl5
/+J5AryC9ElKw23ojluUzdMRILStvtAJFWCKjk2HZg5bmgu2yTa+A3+HtLdESFl+kSBbxW9s5RVX
wR1blm0Za7QTWKpFNtI935If2tqlf+Nle215x5LrAa2A1ZYiHQK9gF4TAXyNknP+h9dnih07Plfv
ATrMWZprK7/GeN3uxjBo/NxofDaOZ9Fvj5pvGQQiAdoOmQx6BbIBd1MN6/jGLXvFymLHT4yqX2Ni
B1Ba1yUjl5Khuv3d6ggWV5AiRD1JGd3syMZ1/rtutpH4fZZzufD5L0MbusYlQtuVy6xBlbonY7Nb
Adjy9OCx4z82Blyb4QBSo4odHfk654eNd8HB77Ofb9uzD8OzJGxLQDjS0eRTurUCugSDLt/wQa/c
2Scc9PPVo7AILELVtCSAuZEpKg/Z2hHPS+WYPrIeYJ1Vt6UEeeMuLKLPbc7eCiRf27pjzRH6WMzW
+ZbmYp1uzdqCnFn36MN43hvHnIvSTJoO6wZmfZMAQQBYGcjSLPX6rMyxZqrnWE8VVp8ywvYLFSMg
dJHy2ztzrFm2BHgpgc8aTKAnV9TMO4BfmZ8fdUn3ZRgM4ZKNW9pHqj6NCSg0Mwi2p1+fzNlsfvIc
M8de2ywuti1CWXkJ4h9IO6v5xKYKnPdpEdzzFzgmS2cxt5CCALIPhvs+mbryGLGu8kvHmWOyYBpR
tmx8SdG45Zdg75hDubae7obRlw4hmtCklltp0nys2bWqG3Grbe25dcdi8VCjHxDRKe070Mn3Q0zG
vShsVRx+/XFfMVrmGG0MrncVABFxBPLYXlVTPt2YLKs9jcoxWdRHgxkN0ek0GHQX0HwPZf0uHiQv
/O4Nday2itTc5zNAxzZH87XS8dc1gQyH19lQx2jBeKkYOu3zsa8LYHtGQyCygraP3+rO+0s1mOFZ
KUEmaIOvA0F81yY28/usT/CnZ89IpbchCEb+19YZ6QmoYdx36661xjIzsojmY7KgaEzOq4/+B+NY
axXOOqtHrG7LpNgbWQF8yEnpeeyOtRYsll1IQqzOyI9esfqUQyXIz81Tx1qB0q6lyrF4spkmrYHi
RObFrV9scG6iPI887ERFVq8VMCRTtgBAPgPZqLPJc++OrTaFJm1HQ/Q3AULcLYX6YUpoh3hd9rPC
9vOtj9sw6a5YzLGpCrZDM/BrMKPb6Le4Y6chGHl0LYLpKPqwBcVWfRvBXvZc3DHTfkxsiUjYHMsz
DpOXQJaZgQjP1Z23VYB7kasA7H2RmOh2RHvkPhN57deiOvfYn5+6NYy0INOZdEMXdQSJQ/IYSM9A
jn535kkN6JmbIb1NGqPzOV1ZA652QHWc6oVMv/t9WPpy/5HKQEuGrkiaAz9zlZRjdBircj36rU5e
rm4AoaM5SKrplNDfopI8jIw++C3tWuoIiOe6BlOqiuAO7vHrSoRn+Y44dpooqIlErZjScinkwRTx
h67KOr8PGjl22lZjMCTSmDRQE/CYpbgRBNh0r1OJHDtFW3jRo5UBEBT2D7VGn0ncXPst7VipVEsO
tmOwplh2nHYbGQsg3kaa+7neyLHTOY9NUbFhSiFfG35hE/zAblRb5BdpRI6hmr4mYZ11JgWabzt0
VnwvFFQH/M7GeU8zqXoxq8Gk8TqA0NJobL16q/P6Svx4BgM8dzFJy5nSEMNKoYWY3Moxj27rINOf
/bbumCgBfXYAqhbXscig9tMsX4RUnp/UsdGNdUmZFZVJhxgSEJG0X+te3vvt27FRtjC7KIq1g3L8
wMx6G7PxLckyHOxPsrGzmOTzA+9AcssncGeOIbR89kGZ3agt9KwPQI7yxeJRpLXYAgJVwzABs1eA
XLfWfq4ldEw0KBCnD2ANpnXRQtiqO4F26+fJQ8c6mV5WalFTP3YbSMwLuWax3wsaOoapVzCWOxCM
Ut7kN7KzaTtkfm3W0DFLVU8WmmfYtG4+brMBj+2T1+ULHZOsk3LQW4WPyIrq+2CTB7lxPz8VOvZo
ehDcVlDm03WE1BLkG0haGjoe/DbuWCRts7N6RjKlI9DCIIlWF0mWfPFb27HIqlYjNG/C4BgrRLdB
yL8xiBh6eVjo+Lw0G1zsvq9DPMmFAsQ6HsE9BSZy9jIcIBhfri7HWUwsngEh5I9Dd5CoYvucCUsc
iyxyME37AupSRgLMsdBR78AC/eC3uGOTC/rv69pmkK8o9MVSo7ff03LyuinMxXQNxoRVUGNxWcf3
1OjfFVsHz1Nx7BJTadYzTnE8Dg29j7G2NbPv2o5pRosSFDKyKBsTGt6A3VNe9cxyz1NxrBNg9Rmq
IwYXJd74bgvLjzUvvAIsaLq8vIQ2MWyB2sWUWrqCgR+yjHcHgghIebkWljgGqpcG5MwSNpQz/S1Y
5s9oPnz0uoouWGumIOVzinMxJo8PvanO6k1EeMURKAi9PJmhmAXq0RYbt/bedOGVnUG58Nu5Y6GQ
gAyZKOgICUl6WwNweIQaB/E7cRdfZfIBmEuQbtNQ1w8sgAbdUHgFKcxFVw1x0K45bcaUgFkEjko0
7CNW/ul3KI6BrugojOABjQAY8K/5aK8U6Jp+Szv2aYcpqyQJhnSNauhCd6I/tU3ph4xgLrCqi5c2
mQHfSdFC2g7t1t0JCraF39YdAzUaMg3Q8RnSDvAXEP/NEFwHc7i+91veMc8loPCKzOCLzusfIyI4
O8rvXku7AKcJD0+heTemFc/fW60vw6bxu4cutmnOZMXLmg3pNvfFcV5ycgjq9ne/fTvGqTaWjYOt
RnB19b5i610j3wo7z+Hl/w7ymYtiWqBxWYN0NqRFM8dmNwhe3vZcg1xfErPu/fbvxLZxBfJp1UHN
qlb0t7pgnwNdffBb2jFRC8RjzUU2wP7n8WIeh2gH3pxfq465AKacFLEaKMHGWfS5mYN2xwL9yW/n
5KU3L2wPbn9YjGlMFFugZ2Qgj9rKuqj8Hmnh2Ckr8lwaWeNK2uBBNeSD6v1ycSYcGwUPBXTjCUtn
a/IAbZB3GeVebSjmYpZquWZNP69DSrOGpIEk0wPUOJQX0hfDE14eOhEgns+QBkjB8QP7bIBSGvME
jDEXD9VYSBvbsRjSdtbhLpzFqV9yv+owWA8vdz4NzBiW4MjhHq/BBL+uY+tnQy4KKlny2pSYMpCK
DLqtYluvk0H59c3Ax3+57wS3JLSkAnexm+9p1N8M4eS5b+cNHRS6E9Aj69ORy88qGh7qqvdK4piL
XMosa6pcg3HJcTIQFIG6LhRKpJ8/dNFIE8TFg7JLevRtin4/kOoBMrp+ISh3TDMMkWe1cdinIDpD
6xCqxfPRhAH3OxgXilSCwbrNUMRMabI2kFrj/H2tws3vi7pQJPCueAasXY8xCAPZRyO7w0vq1z1n
LgwJnHDZxbbDdekSFmIsiASDugBdd668ajjo8L+864DnhkkOIYE0zyGluW9RPEuzjEE+1OvJcOFG
a2UMOPCZTmUwVv1+XnTzp0nE4pk0xo6tRg3EP5ck0OlQrNC4yXm5wwnFJ7/dO+YqhD1L/4U6NTUn
+xByTCDVJZ7+EVTOFwXFqQYCb6StTkeoyGDiykaqbxAsa/Od3+6d19SqgQ+Lxdl0BQTcFOTpbR35
vXmxY7M16ZYmEAbn3kp9sY7heFrqrrjw2rmLN5rpjLE09aJBnYy3z2GX5ReYA60rv4NxAUcUfjIm
Kz5r0mY9RF2MhHRInHW89/wDTvSLZlzVtXrGydNxuRwG+bHoa7/aPCSNX14bUTUEGONBp4JNEFAc
H5ZqevQ7dyfqzbN1oXWd96lok99aCILuCsbewtaeTfIncbsLNILwlIAebaNTaPLI3yD1bS9M1cye
V8Yx1SkM7LrRuEthqcmOA/qyC9ZA+Lkxl0M/rAF69DVWj2dMwIkjfVW1b6GYnkLQnx2MY6e9wpwg
LUmXzrzKIbLdtCWcjVC22udNklcXEB9fHk0z1pd0pAFPpwLS9x9AcRP9Pep/4/CYiIZjbpCauouy
aqGCLWqFYnxuexkukFgs++Hj0pPA7MO1b6tvXVEE/R4zexQ5RDFq7UehjTWHOkKVbM/RpbZQLQtk
mRLIWLLLrCvBS45CVBO+BED2YuAQhczwgQqLNZdaTdsJKrLFWT8M7OVTQ4jdDuPc0PY3iKyy7H5i
PCi/j1Hc9xgoAA2PdLD4vQc9bfER2omx3LeCQAKZYzyIucijLsfIIdmCFxZCpuqRyGSBlhcfLrUa
hy0Nu0Sup6WpZ3aYB5bHx1lAzPSI4UeY0pXXkKxAPJsk614Oigpo+6shusbwnTK5rGk0sXTDaUNW
CfNfLqFe1kAKesbYEWiezBvGUQ3Z9lhHZSf8opCzrMDz1lRjmeEVdLJSHhcdqj7BjuRQe/SyWxfp
RVm2IpCsdVrw5kfGKgh0Kb99uzivGZ0YW0P8KI1Nlo5JfZVBIcNv146XjGcgU6COqFNoglkMWUmg
0FJHneeZOG5yCHPKKzTt0pxg+Jit+j8xFc0v6HsaNfcM2lGC3jq3IuxSsxp9B4KWuujo1Pi5MlfO
ueAqNNCwH9N8qNgNQ/wK5L+ZvvqduuMohyafZ6gKdWklc/NpkP2GYn4L+U6/5cnLe963EP7uoDmQ
Jigq72JS3hRb7kf+wtzAl4uHMGGIqOkuXTudNYcuXMrU9qHyzHKoY6QRBC+hY4gbyfMmtkcytpCT
hhZ11R+8TseFek0Q88yCYuqgVF//uWh2FQejH6ODuXJU2izD3K+iSyHbAxzZNAqop9KkJH/67d0x
1znGDIPZEA01SCju7UTXU/TYJSF+WAxGHItddFtDdDNHgAAZYshQL+VRKeUZILh4Ly2WrNxyPOHo
0Qx7IMo4hHKXMPU7HCcPWUJQpWPVdiC61vUVp3M87Xg/cD98PyOO1WIEVg4gUwc33BpxVbQ0/A05
7epXCiaO0QqLgZAYQYgsbc3sZcYyk4pwEp6X3rFagmkLiTq/TqVq8v24YG6QmZrGz+G4kK9ogD69
RZ6cBtB5/VEAbf5ja0zjh/zEiISXLifGoIqyKCudxlzMwWWVtNE+zKAT9Ubv8BVeHXTkXv4B0E0h
D4OZS+kGPZvhg67U3O0z0RJ9WMYu+ADC2V0QJHV5QBQHBfc8QTJ6KiCQ3/l9/cgxbPB0OTRUEX8u
mGgiMdOhhABFU7S6PnkZhwsQgzDShpzl7JmyKcquG4zQESlGlEzh3u8POHkLVAEHMF5JiyESEcZz
QQFtYbuyYrNngBU55s3HDXr2BH9gNQSw5c18Bnr/d7/NO6ZdT806JZhMl+qhHfc2p39uELD2s46n
wUbPIpW836JxrESTIrY91aS6ImT0KwE8USifLd0EQZgvUBBJJ8xe2VcBQ6th2d77HYrzEk9FPeSY
wNCmmRnk0RRQsW5i5flUujixRaiubfFFIXtlg+8YXkZ/HwI8N157d4FiY8najrVRkyLWuoOe/HXd
529ouZzv209SRRcnllv0GfnQteloSXEV1YOEOmS3+D1iLlRsgYSvnCvapLSSEOAqJWagFMK0hZ+Z
uoAxltiO8hbTgETclvs+kRcVi1a/m+5CxjAHN8+zRLWYCFEsNyPED/diKueHX3/Tsyf52cE7Rpos
FcaLRHjfa6gEI+QPxzw51mHUdUeOrK71irEgHPfyMYD6R5bpaajTbRDfkajfYtrT51//gp9fHYyN
erk0tMPQGgQdCwzBLit3/WjmHxgH4yc9QBPngBRiZcz3ajHfS8sM1Z1RXjYcsmZ+mycvN9+R0tht
wOazvECOHxGN8R/Wzx1QF7+T8E2s8YhiBzRso/XQKjR/MUK4LWe/TNeFBsqVZ5LTvEtDQycMl4yn
8uwxw6Q7+JwPC50QqwnU2M+JgsuJyaOZwvd5lHkdPQsdTwzNkEmGA/aOoml8wODocrdh6oeX1ULX
8OWHbeFjggpgTwxyGrL38xrox7aI/UhqEEt7uXqNeQwmJBgMhqdVPuiGxumkYul16NSFCGoUjcIM
mvHAOKDY1PXyIWC58jwYJxky69SuZlU1gB9Q5oIgsu6/bnXSzZ7rO59Vzgs0C8uiTqOCr5giGob3
Hfh8733uI3oiLw9+5RBnDaBEfcij3HZXJYYi3BGiY/OGQT1VWv63P6YusAzTsIjl3MCbcRM3mL0Q
teZCVXM/nJCIGXKClh7HoPS4tt1NsCIruNGi7JuvBAqpJ8PJdilYALHrZINULYqOQYWxBm1syb7p
+1Xtt7zItu9dtipzwsAHyIObuLRQuGbsetbldLWqYj5h+iOGmG7QwCh2YaPY9qGIwG95qM46FR9a
JfV4QMKGydIY4bLsixDIz7tSF8F2wH89qltKsm7+3e/QnTgeuMYew2Pi4phnUXk3J1VyQzDvw++B
pS4krgswkg3V0SrFiMgfnPQYG5nf++3cefaQa2IaHV+qlG7A2dYYp0W68S0hjbPF/OyqOA+fMUGT
b5izkvYaWh0Y0r3VyyFZgXo4LMgQ8kue8Lr46vdLnGcw6hNMEZ3jKg10wI+sWurTpuv8o9/q5KVZ
FWtmkCPSKp07VkCxffs8leStczof9s/OyXlDIACuTDWYKuW1UY9AVbN3ssjtN1tGwRuVzdf+hON0
wizBgETdQ+vY0opjZn0/9Go3Dyi2X6oFjLY3kupXPrmLmgM8ITczr/NjrqaqOpnYRkCHBfVRNZsk
eyC6/apKGKr88otATds22VDj0KBKDaAbx4Am4xlTCcegAwiOoBDQVmmEdtxEl9NEozcc9CtfwgXR
CUxxkRs4uIcKs6GnS8y7iE+dTND35/mMgVxe91Wc//qzFDHG2lwpEUCmA0KC4LrnX5Je+FFbqSsF
Nq5Jr9Q6lKkQ8XQC5lpiuGbkl6xQF0g3K5QiqcFwTMUkO+kZ035korzyOIrxxC8OJuQ6qjF1KTtE
s7oKMa2SddzzzB0zXmlYj92EpbeNYX51f2oU8coPqYuhWyGEpsakyg6VItciDq577lfFoy6GDrDC
sxCuyg4aAyyuynGc0iCmj17X0IXQZTFG5q40wGWP8vGo9cB2a1Kzk9/qjpWGSTVkcRioVKhRY46X
/dznq584LHUxdDkXeTBj4mZar6Q+mWRqLzAnxA+KSl0YXYB5xTFrBpWqEjOEdSFvAjGMR79zcd5d
W2Iu8kgxvn5qmLInQpaPeqgqv6IidcflFF0y9TVrk0M793dV3aXl0Pk94i6Ubi2szZscgVQ9GbVr
TYuJXnX8huc9//yfPLMukg6zBacNDD8Y0Th3UOce9hgn5ukSXSgdZuCumACrFVhLzbpvc91hgNTQ
YtCW1zd1sXRJs4JzUcUJiFYdZkfJOhuuO4vRanu/9Z3n1PA2a0UPofRm2dCzfQAK4I2dP5Vqf3Lu
LpaO8S2COFWOYcdrQOfrUDUxCEY5tDw/QCmpSxWGBmLybD9jDA5HdW3Z91MVz1DI1Hw99SbB2OYN
uvfkWyNiMqeZpEp4VeAhxf/yOaiTiW5UxuNRCTuc4myCpnBQ+fXVqAu8oQuhW11N45EuTQGUxfQB
lEr7xrm+cp1dAKEN+giSIdM50xumHBMZQ2mgpV+N7cHvSjhn0yo1ccwaFgc7FBy+dS1Ni0lCPKJ+
aZMLIRwwa2jDIDtzNF2B6WOSLQedMK8iOQaVvPyyiDZjikHZ5hidJcuWGLONGia8oOHnWRAvoggt
ZjZmExafDWSn65H1u64mfvBEzK54uTorDIj8pjVHUmL2O60ijKtv6+9+X9XJBLpKyjCk2XScSdHs
JAa6HHrLQr8n2cUP5oDJhiygmHkDUBAmUw/5XS3o9Mlr7y58kC1a04j30xGTBs/D47f8qNbY72Bc
uTI1LFGHHvJ0hLwmuW8bW33n4Sb8IjgXO7jFBSZ8mHk8ti2mK0F0G2I2/8PZl3VHiqvZ/pVe9dyc
BoSmXn36AYhwhOd0ZjqHF1YOLkaBkARC/Pq7o/rc212+p6p6eVW9OG1jAqRP37CHDE5cb3swrxb7
4mdIZvEA92Ge7Dkc4kzB+zfmKq8heLRfWERm3PquINfiXfg1hnv5G+/81VqPdq3maiALzJ9bU0rf
NAWC2tuG9+Q19msHDaJqVyRWXKffrSLvVZO+jV4Nr5nf79JGofc46Ww5tLGJ802nFbyoAKP78zd6
CbL/5NB8jf4akn5O+4mII6sGuj42i2rVMbB0MMfMaJyCf/5n/uAQIa9S6GolFWyr8SFoKqJyTWld
wFH7bUgw8lrvSzcVd47h6nUNOy8BGFghp/Dzbbf+6njqO+wp4BnNQW8ajp5q7kqrqredHq+RYFJn
sVOUmsPaL+tRNXAIg4Dx/rbjg7zarkGh3NiNNwfX7MMxsf3HPYFp9tueS/r7dbk3cF2f0Os5aPgB
FmrYugKQ1LfB/jHV//3VRx64g7GZPkQqMkW36xHWPeFtyk1gQP/+6lWWDSbpYFfburkpdqqGQkC5
/m0JzWsM2JIEtJxNLY5dN+4f9lhvz138l3aif7CVXqPAKuJ9sgCsfKAmAR/lcmrrNPmrHuEfXf3V
RoVvKdrVQcpjBgc2uUY/pmH88KYF8xr91SdpUsE/gx+h81UN+boDneiazX5+2+Vf7dNkgAXhHht5
pFqNAOB2G2tuWTKM4m179bXcl7ZiQSqs5VHa5OLPfg3T67elM6/BXxDiml1IcWmV4fi74CHGtwES
yWvkF/wZ2qrhszzuF+mj3idZkTXCv+1YTV9t0y4eGreHKSuhwnUajX6M2dvUBMlr2FdMASoiSmWw
DfNX3RjdZmP77k1L5f+DfEFGqDFkhFUzW1RylekBvOvGq+Xj267/qsgddTJ3wzLxYzYlGyTUM5td
X6h6f6UneNmM/+TQfo3naqNeZ8JX7Kh0ZE+uWld1b3lc1wfwVHl1rtXumzu3V/+L4vq3eu+f/VH2
+5jJQ1qNazcPFx81P25FMrRDqg99j103HJtq64d8nhTsamC6OONs37pgRn6eBs0adURh3fUqH/Z+
DeemClH1jRAP2N0YA9Law5w+7B42obHR823PEqHvVlv5hJ23KONzn5t9qKM2j4lsSZ0bxzUSoYnh
1eUUhqr1N20atSR51vNWncneQ+65DCjoeV2GefWm6APptveQkPNrC4NcWPxA5huO2XbME7lELMtl
gDR8f0p0D2/MXKFn6RR8KA0MFqGAyqfxo04VqoGOd+JXpRX+2SxwbSsZ4L4wUMcT6ot19Wl7tYdl
g+tSHxM7fpvQtOVLvhl4QfqcClY3X8Y26+UPVS8w+gGRc5+MyqH21YXPF5DeSe8qbPkI0ShbeN/a
pC85iJPVYcfIJj1EabXZohJYabJYmQ9Ulem60/gmESuTx5YuuwIvbJ7CCS4BI3yl9cruunhpRQmf
c0+KhrMZWZhQohQKArj5NtdsHoHf7KamLp1E0cwLdEg22Os5M4+G5yJlHLyRtb2C0yrSRsQSppZr
vK2paXMjkNnlMokGVS5qTL/OTsEAMOwb/7G0eyBHbSba3+8mFey5mVPO74mrCDyaq0YsdTns4Khk
R+mXBIoIO+PLcAeGhsD70m2rcXN1vMt6OcZQNUY2puJp70+Bwcfw+yxUO9WwSEUz+MzBQJIfko1v
NhTDmMFJrBbRRQZyWIbRR2Cx7ABtQUEHhq/LIeBdTtM5pWikpWfWj6LJe9bLI+ubsZjYBidStCRC
ZNdLZrnam3ix/cEbxKh7NtVL92Hb0noUWA5Tuhw7Qu1WTHWTpVCJbcJQoq5pxBcBj/XpRm47mkAN
jRcYFXrt0MzPJfzfU2RQsMAmpJCUkO5d0gvDjhBY6bebMfUJutqxg7bajjGzW2twt+JgmQOSk0Fk
LR6W7+kQgTNjVp7p95yqRJRNZWn3HbWPgGM2IFPTWtqOTva+X+KafQA8a1bHLnDQhOQUT/R6p1Ha
3yaN7/ef7ThMCxgzJpqy+xmbtjmMugnpGZ6S3fypiZSIU4S3vmY05yqT+j52rk++Z3BEFCGvarjF
X3m/rvQ6Nm02fe48C7SA5n0MNnrtSSIh7UzZ8KNyvu7rvJ978Z0SNutPYJfvTYHpEs4u8DymcAdU
nxX45SnKfkydWfezSnUIH+BlmySFbrCTfnQZlvmp7tP93sm4PsbpLLoHYRbODrFodfM09822P3oQ
PNIIk2joBojyokTMzta7cfy1x+SmuenYTMLVNHVDdTWnMjE3yyx5WnQZ/Fe/CAbH6J+J76t7UMij
a4yR9h+gtqi887QuawgEReXW7sJfw0Ni3U8QDyKfB9lmstQDmI7veGiG8T6pqzY5+6ldwiGam247
yWBidsXZ1sefYlb11VMzy1oXOrgImohdLOHTKRWDkd+6W2rubLy7+Ew008NHGHdU08NCJW+OcdNP
vHRbtyJ2eipMcwR+OjF3s1zZjwGaAGNRoe/mH5otNgglzbTBdZpODlbhMaZV603fQeD4CP9oDXpN
xNf6QyOszM5Ka81yV0WGfW8a2emiHm3v4Fc5JlUM76GMbGc7KOtK59M4Kp0d0yQfh93rL8RJ3EFJ
4zqBnOGGu2ij2pq82yI7HsaLJE8OQbu9v589iGkHqo3/msYBHs4RyjvocsIKgt0hXapfKmxhXnRD
k6qCKU+nT2GGPyMEjpSC5FlO+n1vz96BJfshwJ/OVHCSd3xDvN+1n6a8czimfY6O92p/+GUl9BkW
HAYHQg+1Gvk04CqXF6ndYg4wccSk8zD6VNEc3M+RXg0ykf1hXWsyhLxOnNhv/GZrdC02OEvJU1wF
5IhgsjXN2cJlLcp307YRHM97k5ZNxpaotPGayJKHfe+eTbyT7rS63curRU1RVc4+rcItgXnXY5zY
rn2PLnIa+rwdBiePUI2v3bXsUcHcB/SVxDHrW5x3rqroDJx31my3qo67vph2k7gi04ZH4C0YW7Ue
7LndJk8u7hXIGCPcXB/bLebpacLIuLufoHTXzvkaMhjoQFcc3rFGJueESOseqJ2j8VvabmK4ZQOx
WGNjo4bmJxnEjpWgINlmDxMc7mFnve9bd6Cqz+xH1q9NdW3rtiNnkGjZcLeYFJ5bB4SjgZWwSiLV
yw6pZGia26aD++rU1jWwzWBgYY3Ab7e7bjoX9El3igAznAJDHB+shuthvrowpu/xN8XzmjTwVh0g
Gg9OukybKStmyC/WRYT4VBVbpbf3XcocOQmpwXWh4wiwqlqNiIqgFwdLOTP5DQSSlScFBgqiecTt
UvoA+9a6PUVjmmFyBKvYaPmg1D6N14DuNjuyonHffuDUsGMPjdQ4Tt5dJjUkLkgz8/1uj2WmLCLx
Hqqz6PDqITTLYDh26xGQ5we4X1hzjl0j3WlzTNLLyb010ASo8RitzZ3ELo+hV1fvS13MrQ/hHZHb
IHMYmQl25JlCfMt74jvzELtEzN92Y3XW5YNbN3oOGYm3+wyrv/nc2Q0WNPiQZKoeerTD/JPo8RCv
97QzWzmShboTzv9I13i4qVoPfufcwx4Y/rs7Xqap1+Pq+0h95Elw6nHFM1uv5w74wYdubZu2yLpm
sp83zVP6RaU8CJVDISweNZ4UGeqfIzRT40eo1mfy2wTllf7rPMx9ivoKgoikUF3a8ZPizgbkb00s
2JTP0RJwFA4bjg9ke5CMZRFdeWkh0jAFwEZ59B2q8iErYhzq3Rl23v0HvmB9H/rYD6xotx3zF8XH
7BNNgYsoSBBVV6AWzTgcESe+XKUDp7D0JRuc6u91MzegHCeQ7zxq2Q3THVHaR0POwMD61k2w8YXL
d5utD8kYG+jvYs4qP2Ri9A381OGU8zinDfksLFxeSptVaAWINnLsPoy64sfYdD59wPyJjE9Dz+1+
k3TjPCFgZtgbgMUDqCaueoiomrtKDVJvhciy+jEA+RIVG2vV+mR3P4MQDd5r6gvIGFZ9wWXS6ofe
oseUN6oe5gMJ4NUOR1DUkoOoyDiWJq5SvIm2GZK7bNEXJ1dmL8mPANq3qQspVpqWapnjZMn7fQuf
OjFANSnfFViLHzTIbeS5tmy6NeOCjKto6i4qkg6qcKFAdF9z7hlxn9IFsgenmnmN855vMdJ0AgKv
dnkgWeTOLW4hfrdMo+NFStlc9qFZxqt+w1b/QmPj12PK+yGBM4mB5FmStUSUZACONLck2Y8Sh5F3
uaFVZ+8XQKfkWCim+HDb2yo8iHAxQN3NTm6sEH18EHCw2XCMIuUozZ4h7Pthjepzz0YKf+yhStan
0SxJgUHDnH4NQ+XXovJNdkK6BtfMHiyaCVO33Gxdc2qchrBGBl41DltS7LuTOp9ghsRKZ+L0VCMf
+OQVJzc1pJRUzmQ326JJUlZDs1Wn+TRlHbsWvg4/M7B/ursUW0dd7Z3d5d0cpeYx9pB4RQlE3G3N
RLojd0oy87hGGkhyt/GCgUZ+h6EIyNowLyVQIwcN+S4YkX6cfFQf+rRjfa7U5m7WfpAPtYeCftlj
GRd0W3yRNjC6z7JM3i6sDtd1sg1fQ7127yUZTNHG7N1AjfpIOznKvI61BexkGfp+zre4ld7mMPRu
wjHAPS6c2JrWzyzZ9LXrgpAlljMr1L7s23E0Hb0OgC9mH30k+Pt68EAtlKkbeXSqFF/9kFdYuQI0
+dDEP1tXBfeRUsZCvrZqE4ByJqsPZXvRAzgPYdshmyJMEjScdefZpqhjWjJ1Zc3WJLpekwxsbNBK
fXxtmqSS9zbarDuu4PnHzzsbUlbIkK3uZsk0rb8ic1Xzgbo0Sk+61W12223rALPXelyH3CfaiGey
DDp+mMlC9AEyDWGEJIFlzXmKVjl8iRp4CXcFDS1ty9h2jcsX2iIVlW7hbWEG5Cg+r0hEyJAHGpb2
xyYomW/XbVr37zCl8kiHGicoVveAvUV13oEw1B2golOlV0YMbfduS1D7H6YxI+roOOJOiYqm5uf5
Ar87zFyl5AGkmo7eAD9LkjKRG5XnBLSp7dcW/AD1sFgndFwEWa/NtZ0tiVkOQRGBGePepUN4h9KY
p6iCAdncb6wdLOJCM3Kf3GmFLfm+R7Hqv/S0l+cMftsokJXnXxJL+uirwpQSZfI2UZggogndFFgd
SJbyalkR3a1ZtnJVtRGfGDj97ll4xPbP1s4y7UrK5wjnVTXSaH3P/N5tdR6lKSe5c5VRhazIkN7b
XWzh1wx0/+GnacFmO4gOToJPYWg2CcEBOplHeDzTfjuMK9Rdr2QbpdMjwy5DRIyJmQXCU7NxNAub
EbTmU0fixp9I3/SxKrPdIAXIB8ZYDRn4CfUHMr5uLsKqL7kIbFycf9c5Y2p/Jfu6N8+Djab1OHWR
k2dr5ULxxnbpTTmnw7Z+7SUFF4k1vbRfne/n9ajrWEWF7Jfkpp3rihUzpsnuNnRdVuOV8BZkQIsu
e2H0OiMpnRnkZJ6XHSq5IEjP1e1Up/OVrzbxNJM0OGQHdN/1QxiGITew68xBCqsXAn8x0U3H4AUN
RQ2H0+W8E4sCrZELz63zU6Rztzhv3/HE8+bXFdYm4rD3cdyUzF/O1by28Jg4VUizb1tIc2HVkUSR
66qDZeqNrsP0SQo8hJI4lyVDHrfADTzbYe8iZKkhjq62Hev6CnlAwq8djoDum/ekvUIJkMgvEyTO
eVNQWcftk15p00ASOlGsXXIsMkoKgagaUM1FIM7tvEnae9H5eC8MNvzHPqHqMFQtG7HVquV6itHB
uEO/gtBHMW6sv/arkd/RifmM1MOlDJYqDBDwCR4x6dOY1tVX6Fl0bVkrBMW2M/2dczEysx0CI/48
cNEUeg8wHAH+Pz613JDhbnbEDnemWuzNovXUfYNBtHuJ5t7aclsivMZs48/9kl2GO73A2b5l/pkh
l3Blvc/I1YFrcls+eK6OICtLlnfa18gNMKpcYXYnNvRrEQkt+juuu/egI8CBUVw6PSB+m+ceyVie
UiDQz2ilS3tLZjFHj4QDxAdQEB/r9byyunYDXsoSYgtGd9W1hy0mouOHTrD2XT3DG/6QgOYw/7qt
ab8WUYPO1VdoNcCg1lBhs8PYpCHF0mzT96ZFPXIVxs7maYcAqvN1MXCxq9Ol+SGosukz8UuzFkHZ
BNUOz4Z1y7tVDNGXtk2q7+KSmpzEBpb5x8D0i+sHlyHdlXOCZFZl/XKS8AQRhWRGvUwUWzYXsOwo
YAsSZ4dBZuK35l9PdjyEIA7Qt6wylDIwVT9uKff8s64jCf5xKyt0BiOpoIxkNSQKSiQlyl9TNk0/
hmEjCeJc1nTjM5TaZFekpvHk1Lks/ETpXO83ZkirF9UMu6Tw/w5reqsan80foypm9CWBZQb9idKy
QWekq+mtnEyP2BE3oUjrZPaPRlZcg2qE2VJWszp+bCPG0M1G6hHfUA9B0aNcDUvLze0xOaxstWs+
qGV7D03kJPukjVzfRVFmP4mKJx8BoHD71VSBLXKKJhTG26C29cAyAUHfvVv1Jzzz/mZMesDaWAcD
bmicZNN5aqScC6pH5XMdVf1nMHW3fKZg+WideXZjNh09cua3Oyb3RhynCtILh4GG7WqGrcRVoof4
nMEmGTFvJPa5kTUND7qewB5eV+j95HReKvfeL5B4/QoBERRnNvis+YzWMOE5WwOeQ+q7DmFBkoRM
yDg4+Mcidh+bjSFJJGgl1DWyjI5GkIfle1QawODpgYoafRMPe3X4lHCzt1epjvUz5Ne7/ikVE0jg
GxwYnlrcSE7aNdFLgbAdnM8NemPkQfcNzwqicTsfp6ny07Gbq64p0oxr//2CdT1P46DUzcb5PuBv
9JF96pPMDw+k5h4JW2jJUQgdTSdAKLl/h1b0eECYGMejobSzZdqsQwK4HIxhD5OPEUSgj3GNd4F2
RKXppFFue4CW1xDck42abi1GuiTDdRStar+C/Nj+M6KwTcoHWEPe1Pu0YftUAo+j9/Ghl9lSzLPz
12RKkHA27XgTdEOfgF6ewRCAviP6HBBqIBmvPkc74ORHAYZM+Ig+07biILJx8tMJU6ccHjj9jvaA
HRY9nkdMKNqvzT5bVeBNgfAu+gaZOSLmsKqimSsN/XKIF8k7SKQJXkjP9HLepmwWVxy23LBGrVYm
2jyikD08ekkumzDq1rqGu+KMignBpy+73Up/diBlyDydNjdgG2Pe9bLg7KzO2ri4LlcoasdAYqo0
S56nDBlauXppmoJnKwPXx7HQP7cMMjVlDL359vOAhkaWq3Fpmo/xtiN61FHEkmvGE0ULJdMhLSd0
w9ZiGle0tnKQoLa67MBCix8yPRvxDoYg7ZoHqEDrwxIqOuUh3TNkMFIn7kdk4KqQU1A95Dt42az8
qgna8x8MH8p/skhQ2S21ycCLbOB9+jjUPoZoskZR0LRWqacAAn9/TDsbq5BTkO1XNDCbca9RqDu0
HLCoNySFsE2vZnhdS1vdNVPc7ucki7fxTmr0aXOmiYdeum7MS0xJ29ynezUC3FPF/XhaxBqljyDY
cYY9ZcjuMf8Zgz7Cv9GbI+BiWhWYqtDl++iVjWCQuDtxjga0Uz7Hg7q8IYbCp0yM1B1YiyjA1P2C
/mFfgF/h7JJDiyVJb2KWUhSX1EXjqQXOYv3u0yBtWTFWuSuPeO1LQ7XuDwMhYi5TONK4Pp+NCs0R
1eAgb6oM8msAXw4XezC4pU1l17Ryu65czEUBnkgtaQklhhgbqq0U5tkYhU71NVs3siNncTo7oUkw
YVo/I7fL0YdN+hzMwr0rZyyD4ZhtSzK/8Jb2Q4TaIckcgd8tREx+1b0awOfqMSFzOEwV8sSsiAYj
r1iq07Cd+0QQ8QzNaOVuPUr7TeODt1mXIQfZyPRAeTtsnyJ8GhnlTeLItBwvatYoSFexr9n9cqmg
b6po6jckX8DLQmAqVHX9EFRiUayYhTBs8KxHz4oXmLVQVKuxVXL80QZU1wDIBa7iF+PWaEYywCkK
psmBbrvCrWYy11ZOi3igCB41UkXR7T/7BtOIr13np/6Y1dkYeTxdTUZ4MTPTvsuQ7mMvp5Jn9KiR
Gs0vjc6oF7lLJNSaPc8W8SFBf66F/Qv6/+67NNnSP+tomaLHqcbA5916KVShWBDEkBZ8naFrDNqc
NsO5UZh7YZFkmhwNR+HDDvBRXOYbMABr6osdM6QJlW5reMvLmDInbrzGJOkW2bVgt0iLMvt+HLre
XPOa+OkcLfBK/0riuIoLdsnZjsukoiUfeOqj2ymGOtW7aLFLixgHGfpCIjMeD2FRwty31oHoomjM
1w/7AFxgIWKLIU9LhhESM6aO3A/BrK4+EG8R/Ef4G3Trfh3tsO9Gygpdw+HsdU0C8ilYXBcJ39xy
CtMoycmgy+6vhp7t8TO6ipRetz0mgYWOFQAABxBPYyNKrM0dva1LRy06ziZNl4Iw1UU59twd0zZk
mDVSyGMc4wTQ6vnYRgnmPWzEiCfkAyzWRB7mTdPSNJxmJ7ctcj/pbIviEZJuqV8keno1vNKmRSbd
LU2Mtc/UQlX9hdfZom6R2Lb8ONBmke+9x2imHGrR1WAnApD22I7jwG6qehj7917gwdyEVPT2Ol5g
qXO34l5TOJqHnT52C1f19dYZ2X9EoddWaxEvyJbnspuEQts6g0ZbGxcLNrOOCmh/sKBLzAG5kMce
cMCLhDH/AgXD2CaFlBDAVAeFUZBdzkjADB6s4502jzinRzSeAcbBKA25mwzvCR47yFWSNv3+EdOT
ajuu2MlHue/8FkU0i27SqJJI7FgM9br0MsYT6VXcMaav+o7P9HYfJlB0kzRM7otvFwnRin6BdMjR
1XoLTZ54RjlmnClAV/FsxVowNDbsV7VCsv5xguyCTY8XqdcEPY2NwtxdmF2uXSGV930ZlLk4yjnL
7qmpsvGcgVzuT/OoF1LWa9DjbWqhU4MWaYx56xQMX44tmvhJHtkkiY6YUbq2HEQtUXbq2WpkSES1
5NvG4SJ/U+11tz1BkiFz6L03ldl/kpGS+rvup3g4xwRUx3OMru98B3q5cR8GSFIjtxlptt0mWWTD
r2Gmnb4NoY4sGnxbKopdIh3J0V9eMFtprQXYb3bZ3RIr6wsXYBx6NriFrlz2NO0LYOMZZuZZdsGo
ruIoAQ++H1Y4A3+MfV/bO+P2ZLzmsL3bL2+bV+A6SBfgDG951n1Hmy8iZUdFpC3EWlHPFHbEalcH
ZNY9DkgE0kuZ7432DzIyKylCFCUGm0XMBnQJTS9PUGq0q5BJGCofLF+HCLz0lrc/l8v5+JMv4NlD
3oDW53mSIcljxLvhPTEmddh7NVWzy7WwIPqjxQSjKN7EbVySlEaA15B6ru7Thjt/RBiFFuI6jO36
4rpNb7fTzhX9ZLaFZShe5m65DoHv2yfBlV4fLhqO5GTVUuUKYjdzjmy0vjTL9bbizMUA81GEIPm1
bcA0uMegREGDAbnxjtbW3KNrRWFcmVH3DcTVWeQgFqX+sDHdo2tn5uYJMIkEGdEKU+anDshGnIvw
2IB2o1xFJZ+5jiXg2mOMedZ6NVZmnlzegu+X5ZMAjoAUmH2b5QWNpBrNWzRsYvcN3Yq9jXLmkL52
OUWUdeghDhPYHjlE6lF3HjfQQ2EONG4Za76AYR0Wky8eJjbzlVodbbvCz9APRx4as40mpSENoBzl
v1rjIM8bUXGFSRVxRQxEkM0j4eaqgFAy+Ujw29HN6ptan2Vz6f3WKL83fYmZWfUwpdYc0C3YFyCV
oyo6/2u1bPEWbDacINS9bWXMumnJ99DQBwysxqVkFcjfb0MwvTafYyEb1TTa4RDLz132ga1vg3S9
FhSiA1kxrsF1Sfsk0LRo6RspNK9N5yaoNcqq5fyIYzJGE0mu8Z1FtLanP0cv/YFgFUYGv0f6oBWW
OiDSMJmIsP/mZmrdjfLRBA1EazQaTunawRaAyzl93CxatyiwuigupmjDe/rzm7igiv4Z2ugVsKzG
iGZrI8OPE9xMh7IFM+QO4MG5QL6G8SNmceIvlAb+CEz1CgtqZoulBkzxEYIAM3/vwlQtpa6R55Ye
JxPUSaFIMiAr3cL4F0/4D0CWr9WJOuDDcJqk9MgEPDkcZGcOM3rNf/GB/ujqr9BnGo5+ljeSAjmi
vvcmefZCV38BF/+ja7+ChyJNn5WuK3oMsP3IGxPO7TKQN178FcLMJYkbp4XRI3rQBwxS27xK0Hn8
8wX1R3f+Ch5abWvrqGzZsY4jizN9rfKkwen/tqtf/ur/4EGnvSZAB+G5pLuCNq+TcJncp/d/fvE/
WKEx+f3FmUmU11uH5dJwmf606Cn5ImYhha+QSJXO9QI09glMIarfZM9HXuvZNKL2HDJC9Ag7VPop
m4297xK0V//8A/0WXP/J7n6tZsO7QNAWqrOjErJBB1qOwWO4gv9eQuLYc4bMG/8yZsnIrlrdfej2
9kOClUZPlW2XBrVK3RzgzvhzWwmsm3PHkZL9193924/t3+uX6fG/7sP+53/g6x+TRrFfN+7Vl//5
YVL4/z8uv/P/fub3v/GfVy/T/Tf1Yl//0O9+B9f9x98tv7lvv/vigLzchXfLiwlPL3YZ3G/Xxx1e
fvJ/+81/efntKh+Cfvn7L99+qnYsUfSY9of75R/fOv/8+y8J+oYizS7x5t/+51/5x49cPsbff7lu
vpm++Tb+/IPffPlm3d9/EfxvkgqoJXIpRQzTEkQZ//Lbd8jfAKjHqJAQKslFEWCE+2nz919S+rdU
cIFfyIiAq88FWWqn5bdvJX8DeAoqwJRTgWoQjhz/9/5+957++739y7iox6kdnf37L/w3vcH/Xlcc
OAEiSAqGGS4Hy4PXhJBYxV1dRWG/UgnmOMWwxNMF45mQ5mAXusgiphX7ZOsQD6U1rHUHDVPYtagD
ROlKa1NUDZWe1/fo6UhwRqmjRzdE6g6da3dMfOOeJqRG+ZhMvuio2mWuw9CeLh0U2G8yVQJp509e
LszfBSr+D3tnsls5kmbpJ2LAaByM3JK889U8uXxDyEMuzvPMp++PisyqzASqUQlUL7rRuwQS8pDu
JW045zvnn+arXYkWn6QqkzuLSWyuBxEWcxFgynB8aZXq5A5UIn80y95a8NeXZfEttRpyR/9t6R4q
FZNerdJkwuSILOATJ02do3BLazxmY5g+joPVHBsciyzQ5/KHVVaz6w+hPnzyx+l+5nRQ9zaVB88K
kgXLVwvz0JsKPTxMFt05vjbZU+VNZWHsLdMeo31r0Om4T9bJrBgsHia3Sa8jcmVxYxZBpOpVnGUW
GpkXTjN6T+pkoTqmSjfE0Vyp19qFrZmgG9qTPftJXGo/qyF0XTKMS3JFZ04/mmJIrp0UpvDaCjny
wj2Q6WBOTjuSXxiqtYOsbTvlVUyz+hFN1fBOxyHdj/bQV7/lqhlfsam2UbB9XV/DNVlu5mnsIo+1
vmu8oXMXxLd6hunV5HSvrdr4kBptQc1PrKV+lsZRvluaSfvRNeZCjUVjd9XBbDr7XpNWiG5tcmX2
1o60go+amD9XRj4ucJiCjllztcFnutzRv2xO5TkapJ6/r6o3wj1ne9fChVnTQ5JQUM5lD7nTS1W2
Yu7gr1zAM+q9XpdjINuuua+pxrqPqUo5Gn3VPMapI26bObE03N+0mILcspxdZhX1h+DCcivG1Bj8
pcGaqWqVnemvl7gBWe27M51ECJRjzZm5XGhvbKp9ZenLPo6y+U0tIbBoVLrHzsq617mukjfTTbmq
Gdy4UU4c50fB9eBJrxjpV0Z255n9PPqZ7k53qe4g8mUWYA8tLzfcuNw91rh7UBCFQahPFBfiKweD
iSMddfxKE7DvjhDCeqMNcMQVvetnNvrqKIsYgI26wIMl4uK11c3arxzjxTbMwkNxnNkWaq8ZL6Pk
NQDWSBav5Qr+6I6WcUpi/lKQKSdISO5cmrAVQdgny0sdwRbZwzCfjZ5LZKzW0W8Y7LF49tK6vk5q
afQyGUb3uqWvD4YcN/Emne941g3YxRSzIq6s8suZzP5hCGsZpIOlP63RtL5qRWsfsQMXdz+lzJUG
EKrLV0b6yjezSuvXrOqHryFu01elWyec0+FoZvzbqYC382Ek7ftFFs17I4vuoSxM/WNyEZ5hWpX7
JJNB+GXM6Bo/LUAGuABT+g5Gb6S7yVjWgL5z+YEd3i84OZ35ImUT3TH1MgvaaSx+zZSuQroa9s80
1rpdXJDVDEZI0UfDUeFxqUFNk6LKP1UXgvNVjaBkr9cwc1JVrngzIq2/ZIJtuz0Iz8aq1q9YTVMd
OJPIX9ZGqIelmO9VlWijN8c9TLSy9Im/U2vGIJeO/m4YHJYPgzmXVuDmeXhrGIrrM2vEY4g5j5+W
zRWW0Ly8UbSb90zqE9WRHndQvtQIja+srdaUb95oYpRPaT8P9PFKfwAf3yoaokcqN8sPuzV5+8eh
5GLt1Pm9SDBy/dotuUEzduJqyagH3lmTdT/XvUvnP/CLmYQ0fjsCEsjmGWjbpdlHphS9h4XYnldh
NXXQ5q2tB7TKrcd8caxmV0Ii3Tu6wUTEKuMlqW3LhEHtZfcYybw5JNUcV6ApQ/dExUays22jOYnU
tS+GnYePUW6a7xQ0ZOdSrOFPbeqeRF3M1zQaJsOrBVVibmtnxbGa8PHGbpUFbEg0nLK5lQuGM7S1
ri/G1c6c/gY0Dswerzi+y6zZvXWlBYCdrhqiWZWb68Nkd9F0lEnfP4UiyZ9jZrf/lKk27YBUFdkA
MCtU9ukMiWxfczkWqJkDpc3aQDQ+y2YGX5fLchyr2TpnaUv2Diy2JLchpkTb9V1va3tGqieWP9lu
c8OrIF/suKtwktPoIvvRPi9uWHzMoBwfGoHbQ+MKfufJMNpPve9Jf1WJfB7xtXfrhuU7hB2uUdvW
f0ZhNH1gRKApRYbVO/QnZg33fqIbR/RHtNSkz1Xj6eVX2OG2ettp44jTbuzBrrQlkMihpz6kDy6d
MmNfNdsnuuCaQKFZ1Z6gEsmTeMweNJrhbL8VxB72DOFgv3Vqt7l1Y5YXBFvAeS+exulDM/IQ56iQ
UNj9MnxR+l0Md3o2xBnPnZmN7J6qvAmxCvblkCwPGB4pO3vbtQ9lpQrXZ6xT5zECARMyQ7u+liNx
EZ5/O7vtOuwfRbj3HFsdvIZppPITgTREPJHDJHxyEcnFtZbJ3Us5ihebkR+v7NkZEBFEcu4pygJ/
AslYlzx34Ftsy31x49ZGvm6pUHCqlNxHJgftkifhKk7J2JXPRtkYndf0XXpZG02Yl7hcjLeqRtQJ
Zqs9JR1aqmd1ZXUeu6m59JWSj7Nw5Nl042wfdgLAz4lyb63W6X4tOz4Ql0XX01Tfv21JnC+uVcz0
mVr7kPdNeQLUyTEBISDcsDGvwBMS1RBi6q3HdB88RmByHLIiHKITw7vtmySOk9s8bLK3ytXtGw5s
jXkIm3JoKDV186sLzvLurskM6WX/EGZeHxY7mwOpmTzOkbkGblubz1pqZCfiKTmkn1F3m2LRqZfU
7odyV8PiH2KsovcyEtOrZOmEspJtfXHBUXZIWEIAPMr5KOc8PttJNZwWKOCd7Bub+VnouIMRM4Em
TcFICBT9XOTSpF5CQZifGyp7dwg/9VhqhnNsQ+HcGgs4VtDoYvwdWp27G8jLthyMdqLeHBij+yiT
2jlOE4//QC/JBZr82VyYIjm545OuMPhbPPjDaNLC4anRYcVKR0sc4OZB2Ks8yp8SHpO3BvEMMJnQ
QTLhMO90GrMfJRL2fB6gZ1K/Guo+2pWGNH+Aci+/auUAzS2s6qjDucuqnhZhNxxp6gs3bouDjohy
1fl8zXS2hIPVsWzX+XvS2BMfojviokq2z0OYSt1f4yG7TxdaXjzMzTCo0Hbv7Sp5zkWk7qPEDJ8x
+pXmk9c0ToM5DQFTWOaQxbDSftdWIZ77LAXFoBAJyyFqubHHJtni0XieGFTDR75n+KhXF5110xVC
XAsxmTsSOgbUPVaagkQ/FTq+icLyve+cvg6whm9Vkei3AOghxqSYHsKmSq7Zmut7xuposd/r7LHe
FFKi66tmUsEYVnI/FG56q5MJuKJ8TNlOY/ZYcWQQX3/TrhwW4Qws+9UarZwgTF/FRiCXUrMvDQfE
V4YM23Cqsxm9Nqx17GCL9cicAsRvY+CUuNebMh8ZjOLgK1p4dS8pXsMtSHd8H6les3krlsVgEZvX
M5JF86OzdfvFye0F6l6F2JTlaAOwVNYDix0zFYpGxO+8wGJvLFPJEVozCnbTvHxCwI5u6sxqWVH7
irTPWjtnyR/+5dpj0QfxFCm4W86bJ8xiLJR8xSbzTdV34lgXvdwzmqiLj0WOyciquehaMHRWSIwn
l+hyqyj4lvooMnxz6FSyU47B9GPoWu1jo1ieyihEm+45swcEdIu7VeXDe6U284jZmuXNAGHQmFB1
fgdBxyBMCo3vHCIC7102c0OLzTQt7sCSBUG7psmtwIpN5GsXBmIO9HGeQl+UcWccadXDbat4lI/h
KN23kBhZ6JGjcgsvI8cIVj40XXXWsAqZT1RuHBPlQW9dB9516G3hXFAfoP9TGSUvlQa//1BU7TLs
zbQyvzqGEVWHuinaZR+KXmFRKCfqsdt4OO56w+TKkecgvZ4T6yubXs5gI+ksj7wzhP8YDD3Dmq+c
NVj9L308HlvCchfQVvONZcl6tJkwAfYWupdyXPqnecm6jNPU+jZBeGoeXaSwwGuV9n4bY4B5LEmr
/X9G/LhJ/iQ0V331/6p+/JNg8n+TREJRreJN+98pJM9sr0P78U/6yH/82F/yiCsRQaSt68KhlNj8
lkH+kkdc/Q/dEq5EMuH/V/omnPxdIDH/2EBmckT8CHXRW7T/7wKJ/MOVrmCWOLPZgdmonP83BBLz
u4PsHwQSR6CJmAb/oA26Ybv/KsDVZaYRkNC5noTm4g9ZLz1t2gIwDM8GFf7hwJN74xznvtVly2Gt
+t+zlND/3A1VLh5DnLqd1UyfPZCwl20VRf1sDwE2nubN7PpPWS26C5mxlJPSUgbriJ8KuvFg17xz
OAjxsew0yu2j+lbVGxKckC5cKutH5dbN3h6WR7pofxcc7vWlzHi5rM4vXXyHNdOg5I1buHTpWZXW
/IwrBo4Q15iP/bLYHp8h9edVNP5MuvyorYQT8nSMOWcUTAmzo/sICzlIMAIxgJeIvTctr7UDnt+n
5nqutdq+xmWoZq8mTANbmC+voRs9iyT7mOL2RyZ63s+xX7jSQldAOc9h0FcDCVFMM04R5vDIOfCQ
bcOdajD4k8ysYb+GSxUwQk3bjphJ73pqWObJSy19+NIHuPQlgsRsDfXAwFrBZhvv4qbLDrBchV9q
TXmjmM/qQ6+HvwzIvKNttgyK6Rgj0tILTB7BVSfk/vos8sj+BTH1s53d2DeKtfFrRBFfujn/C6Py
12C72k1oj+LkTkT5kn5KA25X5s1KP+zeKqrfqd5PB81t1F3LZWY/RUbqDakOAisqTuZKmTtCTlh2
btOem2KWj063ftaQJj4QTHM3EZn+YVTLD9OpY59yfQRxNxVe0Ymr2WTDrt4KbuFrQY3G/Cspneyo
Kvcns3mzAG0YprHPoYcmXVEhVYgzOwUPgJPlR0HQ+5Ko/Dmx7We2p/QMSQinHs3Jcxe2XZApSQFt
k0U3TBDOH6eetIZekMxeM9fYTUnc+eBELwpXeEf7onXDPN03nlf39wxEsRMaFNQqqzYo+rjYjXX3
HGrhc7zMO7ua0SbW7jUl9BqMYnQPXcloSSLq7zluHPxo96ijN+2yngOlnRodMYmqfxXRWPKIOo90
azwTh7svDY1nlvfdH4kBetsgPS4Oo3APMwHC8CY1ZNMeihU6tgwTMGikyfrexDbd6ZamBXGb5Xdu
J/NdZUbTiaNNvbd5Bu+inmhoGJkJIdiYjSiOWc5cwtR9jeGfcqJj/LZxQR1MH7vUxLWtuWdqVvdK
deb8VBCKOU+2I456z+2hN+0XXaSwIclYvILrJD5fFTkwayGnmaXwyyTnw/e2qsddmMnmmvRddF6J
a4Igj8rkaGvBjAxh+7sClQkQQMkYzZxy7MKcH6IZcKeeTQCQiZZusAoIPse4E23YBQ6zQQnLTMnD
RCTXW2pnuBMps38It6x/9ot7ZCph49mTqo6OSFEg61V/CGmbDwYtiTxqHrn1Cbf2BV1bUNRRHGT9
tCEftZMcOeiV+a7Ii9JbNGFTCqUNb0vn2i9DNKhjw6ikt1yo0NeESvfWKFDyTLLlYCbLpVFW8uIS
Sb9GVWOjM1mrfMxXXbvlAI3uzDifNxqD30Tc9vsKxCfqovJYd/N93Y/y91iTMErQWwOK/bvVM0Zb
eclcccyLwabdrv5Fgn/6TXChuFNAgGd3sadj3zvQxFClvqbybK+v0RvFA/Wt1jrQZ4UMFLncSLi+
WxbCJ3ZYUTPYXGbYDd7cjfCgbowK1jFWFzMv0vtpDZFN9T69Y6aY7ldiIP+TjIcC/OStFMMAsVm0
t32zDH5MNDkYEl3uim7h40SWfCHwku1JL66PYbw+zFZJCwEpYA79U3Kq0+GBfUg7DVXY7C1hRb/a
qliPes7QI1Rt5suXs1fJsr+jLs4KHGdNYACdIShlcp2dOHtsIrN6sFJBojQxB8Qd7g2WomDYmJ0w
WFbINZ5dYqmapQ1BrzVWECZOcRBt1l5nra886AvlEZsTwagMVuFkY7fjMqASXPdN131A0vsz4Xjm
E2WgptclZzGL2thlYzr5xtCtu3EIWV7CjJaTMnwlG82uuP0OMrcMCqgnF1TPlW/OyNucW9Kmnp3c
VkYBBVj5aJlAMEY0/dKiAeg6Laf2WdbOl9WlN8U0sPrqR+IvRPKkczfStE9AEp43SJ14epRTPOxH
J+N6oKWPatbrGwUO8Vq7jr1rpDXtYLZfC1wyS5vyAGOlLX1bc99XNK5949afyFNwH13+TA6crPS8
TEGZi9t1XG8Kl7JCdrv0BStJngaGUPnt9k07tNvvjTGCvS9Yenq3/Czl+mtQ1c9R0WfvaStOSi5V
vFNdBU+Slcl5RlJN4qa9cZgahIIjHxLdhuyBINoYXBk4A3fwdi2ZIpQqCJoxa58jxlEHaxc1B7tn
vKIxVx9AB09k97IgpOnM7q1fhHqPk2l9FkNp+cyXIjFuWLhXWFz/017f/3PHXcPdCoH+azPQS3AD
//Gg+9cP/M0DdP6A6LbAKqWQOItb7+g/eoBK2hDZFsWSm9X390Ou+sOSQtmurrvSliSY//OQa/7B
T5C2gPK0DKXjU/4bh1wOzP/EjiikW8cxdF03Lct0+Sf5S//RlG8oiO9Kt0DVD3XzOd2EoWGJyzOs
fxeM6TwcRuZFxFmBkISZ+J6oorhKE7kJ+2jTnMpNfoorM3tLN0mqHFf7RndLGnbAU2LX6771K0Jz
9ptcN+FmArK8hlnMO5Ft0lfGqn2INjnMNezqa61U/xZD4PMKGLK/s5U234tNTHM3WQ2fJttPm9Q2
t+SShk1+MzchbtE7ThNu2Z8gDBWXXakZb+yB0rzUm5CX5i6aXuKY5XP2rfRlialdEFnYwS0zHalT
RXKkwKQIX+YqBejaREN7kw/hTlASU40Uid+oJXklTCZewm/VEUqOf9uoZsLreQo1EeWr/HSjkOMv
lT7VmSxuxMaImLkFxhnItkmc4lvtbDfhs/jWQGPbaB+0mj4ED7dveaAFI92Pm3Bafmuo4ltPZaFE
W402mZVmIe2RjB/aK8Ll9FH/pchq4UikXlua2/hbs22+9dvwW8uNNlm32wRee5N6h2/Vt9wE4GyT
gmuWriudLNYp1fWI0RwmSYVCpe5RDhZK8oyN+K0t27GFzlzmZntMv9XnyhWD48+94NuFrEW5BPNN
ftJNkBGlR79mxl2975SunqxKqP246dxLnycJn0Y4HAZUyD/rTJ/e9U0b12pUcmvTy+1NOZ/Msr0h
opha7K5CaXSXiVTbzd+Se2amUeer1LbOQ0TqJ9/UeWp46l3Dghv5VoXcuTCmlmYsFH2r78XDipF7
MTa9X7cH62dBNuWZoSf9E0oJ2UbGLImH5NsuIGm4WQebiyA2P6G2N5lebS6D1TrG1WqUPAlcU2pc
QtRPNkKsiXJzKUCWMSx0zU0fkm8bI0NcvIZYG8Xmcbib26Fl+B6qLeyL0pb8GMlW8jFVunvbDnxQ
nqVKBzNlbHC/ShBR9kg31TgaVp1a9zp569LjRmGcOtzcxTNs/PFkGdtHrWJjc5Z0txkSgVU3P+u6
CIkiVEXQgM+jtLWz37rVWcyDxuj3sAqsxbzrM47pyqJizeWygDH9FsbJrhhkt8d4bu0tVXg1hTN9
Eoz4U9fa5raw26emrb/cpAtR4zE+XQDauub6sJrTXdFEgbJqk7z7VhUg7X2V2ENxF1oFyr+t1Gzv
J3jakoBC53iJOS9eX3XrYabxCtMJW/HMzc2fhIGnT22DgSjXF1cHvmHHazi+lNDLN5qgToQ4FJPJ
TOjoh94Ow4j9dRsNtwotZq/VZucn8fus9HrCciOPaxT/mZWsiQGriZx3FSUx7tlZ5zg+GAMfDkhD
rpHGhkyw9/yQJbyKrTjkTZgG7TpZPdmbyVHZZ2KUA4kEYpz0alo8Fv18IGJjHsRoip0ZNVSCtEib
4yTEoYjMIqGpIgxfFB+tP/Tw01NNDgbeuWiDLKYaiwt1hK+W9sOepOt6A1sqnhyUz58OzQWGJ5N2
vJDHrE5wr9l9KJ1wT6Az+aqTKezJfFDawO1QMBx8IdybGNo0eyuHEa9kfO17bebi2GTkfKkYzJLj
EiZEKuj+4AzZKXnT2gSdjcxNjm4TtT9M2WLTtwsp3RAKtqirfkfr/Pgkcr39oXGNPauiWQi1pEod
ugGqmM+/u0+p0hoBH83hVzRzjzCke2T67EXPsuVKp0r+o5VRd4mi+TggWTwN9ZidUi6wj6D00Z1N
b8+d1LLi4JSlcd+gQCT9qRjH5V70SRKQdh5fXNcY98C5Jb1Ds2pOa1Zrt6IrRX0xeJruJqIY1xRh
FHeeVMCZ2No7fEX/rhh29NokQ3XDx5w9FNlq/uytkmnsSN9z7TfQ3HcRcsWVuQkIlZL5OdjcPbdj
p8e1shx5ExdruQZTOCQ70x0u+bKafryOBIE0Jh622kjwy8WsflonKv/ztVifwhVHxw+pVXhz3NnY
LTWsJrKwcVY5pT3ekK+139lp+omPOZx0Wq2ptyA99pQTU94P239bJYlx34Og7qMiW45Sr+0/AW6W
gx3i7O+cQi6+UeZID7k+c/00DaoBVcctzAPVOIwT233dNsSOdJvqmWx6jN3OAgjREG0d2h9O7rpE
1JfFtZ+EYf6mMQL6pYebuq5wcJmnq0aeazNsBsx4Qz9FwvjsFpEFVLdlv+iCZboN4mv9QoECnVom
Rw9uE02rrnPtpDfS6RbH61hbrbj4IHKc8Bhn6W1qttEdNhTx1XANIyD4ibITDEfAaopNDG23RGX1
oExH709Tk6zPleTw5s0V/WoCSOkVRWN8YVbPJx1j1XpIwo6bYpQbd1wXo9/w8NG+tOOe26yciXx3
IFrM63RRLXJDvqatmp4VS81HODMd0y+BeOlzywQZDJVa9Yta0vw3nSyZz7jDPCjihIQohPt7nEpp
H9u0Me76pgZVZxGdI7wwp6Jgf62t8YcbRr8I5Bx5tZxLQ5x2V1BG51GpcSwb/UmsfM9LWk3nBeze
ytEGBFy97wzTeirTepGUCfCSHBkjbF3mMrWfxpJ2fK0bJNWPbn9y4pRDh7Vm3S+Kf27p0+OLAoA8
ScjzQ5OymeLqaGlAN0IelJacHriEdZz3BFsr2gr9g+H0QgUTPbgrs764pLb3uTLnl4xcdUDXm+Vl
ecnI6C43d6qytGdnVrvZRImiw8N5mJDhbtspIpBuJOmbvmDMj2Sfd+1Y1p/UWmSHKaPBKuK4daRU
wP1BrGO5C3W7+hw7Oe8nOlpSbyJ4/gQV1RwZlsPBRHZHIuXxNa6GZU85UvOTyvH1MuuV/UUOllqz
0LqrZZtcis3dLGWjcyFaGCyRpI6kyWjsDKSRUUsuOSEb7BDckq8wFNN1XdIoCeZCo2jGbllIprn6
RcURTI7WETQlOXqYiim5t6m/21NF5u5Vr2f7FS/0Bk5LOzAnsfD1EH2q6ebPwl67exSP28Ex+qNO
B0iACcRxoGcir8KBvTY9pUfLMF05dCZB6pbmXT7K/BjWLOsUojBlh9FWQiXXpY9/EUP7rHX3TkUR
KlnVb0VcUaIeK+rFDL+phb6PG+3CmojiI/M0fsbdomSyWuYy8cU0ICfiN68XRRMDflevPTpiMcQ7
SXlHncewmylSq+myhTg3vzhkkSLGftFf2aSawzz1+m9lTVFzXtEIGhodMvdzHBxd368tu1FnjtOT
m1uKLohhvRGddkPZLgbeoJZz6qaxZ4guYxBp4nKaoxKB23KaLNT+6R1cXWsZz3mmR0d60DqOlG4Y
TH16MazavmVF6JHPo+JqR3IkCx0ZyQ/AbeMqC42WY86Z623b03KPK0qYKudk/VS1sr3yvloDZy/K
ELiqjw+ZRgWUtyjbuTE1vRfwKeUqyYGaggt3prfBrJf506rbkqZmMm7vZRYXV6OjNA9RVFq3RsUJ
hSIXCBwOqwwqiSO7us9kb9l+V3Qh4qQ1Qd9kTRutu2jFpfWysI7fRBbrl7au+5QiQlM7R4ojBt7f
qcry4nbEF81pfituJNrWA/MH0QJnxUgN7OWy+CRYrf+K6sEhdp6p9yHWh5ODDzp4tp1klU/rURb7
YUkYhIQtLgtBtrkMtAp4fheuk/NMJRTdKgg9y252lIK63vrPGos2DhcpBLkxC7QYVWtJcdFZtT5A
wHvPlYRPY8eMD0AThY+1eGD48L1srK9GH6NjWFbaaU5D5ncW2knU8dG0ktsVed0b7boI8jTqn6Ab
aIKj0/AQWkxiypjw5OcmQ+G2K4ZSxZEPYvWJm5cVZ0N+k7MNUiYWPpIE6V7as/D4IhKPK/JW5uZq
1C/Gb2475T5BmWf8QeAfxsppHDs8roPTvk37O27n1FFODlMFuyYohHY0EsqnuIz80kLjmlkphQPW
Fvgi7EPc9SdO7yUSXM2sDhWWAho7oClq8bIq7k8qK9ZdMekjynS4IpwVBvLb2DPlbOD3HJl9gPpK
lTJl8BS60DAzfxRjE3RDfKSxIQ4Ygny3Diq7n4yCMbmxWG9498xDbWCwsPUwk21asOW5NxnnlKqv
x7B2ssO3gBk19G42KIwbmEU7k4YxQUdxl3Eo1ZbxwOCi8IFUth4iWNPc6mvu4DSeyvv2ai8D2MWQ
8/k6ba7oidLIthvmeDQ1Fb4Ouhx+dGlZp34cg8tQ82dDliJa1sEqx/EhF2lBSUJUu6+5WcwfvRGF
l44cnwWrATU5ZRasaT1EO/A4iAn9m54QG0hh19Fc7GzDIJy5gRZsHOKN+sP8iRh7PXlaa9rioGV5
d1ZKQWqMDq0nYsM3yNM9GRvQISA7qKGzLiwwdDJt2MecU9O2gSAgFTZWGnHDDRKpN1xE/kWObBAJ
XS4gv0TAIUsEBMbiODZxvY08qdpw/MmbhUBv1fR/FEV8KOzZPswbtmJtAIukuuGcblBL78ADbfa0
u0s26IVuXgQGmgKn12iDYvDOGRn1TcoUGzTjfPMz0TdLE25Yzf9X3/5bPL7Qt9oixLH/WoG7/Yg+
8n+l8f/j5/7mNkPWS2xjZSLFScB6lK6/uc0bjC9tkxdMANfziP6nEGdjKSOMOS5lpUJ+Tw36u9ts
/cGoJFxo5DvSsPyO/44QJ78nT/+T22w55P4R9qTLA6nkv4S5VgfCe1zS4kSZxrIr1UdEtZEHFl3c
xiBOW6GQFZS0CFYULwcMAqGqQMz5x2xa6iZ1qFufO+eQWgRQ4nrCO+MGb5bOC7dNNyDHj1U7kAz1
6WXDajTHh7G1Co9+NgaA1kP+1MUU5aUuaLUTm+/pZoV29s3SrT1mcbKLVZp4/Rg+DBovNPj7TmRh
SyM1ahnVe/Tp2sB2hXUtjMX+UInONSNzd10lbS9z3PWGy03h9xNd0Xm+pN6YdmCJzsSRDwZbpg68
kqNHVA+zwJKfok1VVwFwkBZU7vTQUCvHN/g5UdAx1cW1GPTd0slH5lddqraOfKbD+dQKf9ExOJ8p
SkpXdj1nPci4faIeSN5VYL37cdXqA0f7F3ooPVubroPFh+n2tXFNaSxGNM9uCRccGo0sclk3N4Y1
dODeVXFI5v5PXMD1NnyFvMWpbcC642Y4m3qc39J+8WpbS5A3AzdjurQLswEBLL96cwS1s9M9iFkw
OzZl2ukzbbWnuMaK4r4BfkxUW5jEWbU1PWrL8ABVP+4i2McXiF6Lq1Gxqwc5B2z5XBcHPhrVcGSi
TO6pLNrH2Bh/IUYq7DMz3880EfhpVZh3ltFSaGlBLS/U/PhkndOD05sh/otjnSRXvGe2pEcja0wi
34Y5BKz4C3f6cIUr7vr60GtpdDfbN25hvRiYh4c1tct7tnXN78fxhuPKHX28HIzstyhfbnNuKX4/
zOaBwit41e6k0eQhMOCmaGovc7Kjyi3hq+pu27b/ysonpvjVeE40CFiqzql0QbPq9Z0JSi/Ghiiw
S2lLSBmQV8vmdhkF2/cESacQvhxqeJrlNHdIscWrzGtYhLigidbe/tvpqRGa11JC94JWAoy8jBY8
toeUVVI86hfOpB8ayKzS0j9oIk4uq+5+5al7QyGuZ4riTOXIvQFhO5Ypzf3ysV1j/X2kDVJ4ScV9
f3CdJ9cu92UYwmHLRdGRWbTa3Rob1r0+rf0+cRmcWVJG+2dtNsOlb7MEcGux7Pu8Merz/2LvTHYj
R7Jt+0VM0Nhz6n0vd/WKCaEISTT2NPbk17/FqnpVkZF5M+8dvMEDLlAoRAKS6A1pZuecvdc2g3o8
UvJ67zaW5qUPgvyoCd/bU3a1e7is6UuM6rOjBKyjkzSkvpdxWO1GtwofoWoCFMD6szcLfXxD/lRg
dOiLK53kbu+6efqNAZX7MFkcS1M9SZjn5s5ROoV/LGeLn3B6olTp9DLTmoYz1v7scWqi4ZEDX0tW
dZk9Id6qN6qb+ZpV6VfvQPRd1JmyA43q22fftspT0nn9TbS5ecEp0B4avRJvArA/ooFiQMeMxlul
TrKvMFveUVTKT7oyrbWos7H6KLME7UjR8alPbR+d49KnLgrS5phCbWfU2nX61fMG/b43yTcUgSFO
GceyJ4aaQB99uzpxq7gnulsoHK2CGqKsIrFss9LdCrjVFyYsQK0avGUQkPW/86aa/9AA/WfVRoHk
o1IyXXYBD00Srp3fj08SJAyFWU/h3gvD9FJaVdHtY9qxFzWjQ9tAH1alANk/GgIJJ7zwVU/24RrI
XbimU/kE0ErbpCats86Na1ZYkGArO4x0fIwoC6UVhW9N0NLlh4lgX51cj4+Nnl3cABI/1O/piniG
xijo8vMYzvhyJZ9s5N2LyvIhAw9AilAV2dCJ7ceqknLRtn1257RgL1b92AaPZd8b2hYJtZqWtJVV
vpI5f3jBVBVRgOOW4zafZNAua/Syw1an5ojXXWAVb5qQKkKXGBZrG9bBk+lK7602oPLB7tlohnff
unN9jEsJK+OsIYRq3ri48sAYb6MsP2lmCLEmE9AfW/OeRthJltVDUEG7KQs8Bx0Cey2NhuWEvmMN
542EAY2awe3jcSkQBtaT1R2Dqji5EY8/ObgYeusQ7kxEN7Cl6MnQ6SxU74Q/ZGf3h7zrrY0WzuML
vHe0SGKERr5I0Zgn8X05gXTgRAvfZ+rdLRJ9biWcSoiydEc/0aN1T5yq6xMCUB/JtS6fpB4aJ3zQ
hG/avn5fCEe/ysRE4utH8DL5rocTwenRGcCAf2bWy/3OILv+YOzUWQvTNeVnlkJKGSo4HtX8pIzz
M+PNT48xP0ft/ETBlWwPxEeYl0TLh1upIkUfPmd/lnV3KREArXKnqt8J0MDXBdCj3iTzEwwegsbY
/FQHbpI/dvOTbgt2n7IjSFnN60A0rwgAkJxjaRUEM6h8vg+U9+DNa0g0rybTvK7QViqW1rzW2POq
08zrzzSvRNG8JkE30PeJJ1Dvhw5L1tBU2UvlTe0eUoO/LyHXH8kRhfDVON57nBrjsQw0ZFhO4l6B
gbIw+vz0kQOI8wN1i9wOiNA3XRk5V35au2vJXVgCuLfWUeS4IDmRkQF9CSoPDxT4OW4PX/C2PR8E
7sKw3bjfuJhZIB+Vg0OHJjSrcQfsO+suuRt7uBuVTYucvuC0Mmbw507gM4oPOZP28gX1I1EThp2U
zTLOzaTZIbLuwpOBQBs5Rh1ZgB8aj/IMfA4uXBK8/Xyh422zKBnkGJKtPpCdkE02Vp3BtukkUPUw
sS/zmB6rasw7k0zbswc/5UZpJjbzfHJdxZYAVFzZydKcgkzfKkem6VrDsdMjvijwBSYl2rbOUT1J
zHOXkMGC1NZtRl75rDdpUyhEnf46wWWHsytzwdrCDMHnFhNKnCqzMe4ZvPK55OrmBiOKawhJa70e
S5THOY43T9/EbvPUdCdnMhVKDR0Pi1+erUjqC6PRgiVnVMIfqgg1sQvcTgQj5k4fwkdWUN9BWUMR
2MXfysSHHRL3PwRpJ0tsV0vPH41roKv+UjQ8o05dfY/c76nS/APZKRHrDYL2rmEbMAtMILGrb11Z
3Cxf3JNx4a+G1LvSpAx2MnOdZUj6yJohtHtsqOJ2KcjWJa3xQ+Bp94Co2fMiYZ409v+1PpU/iIQm
1CJEVBbPJNxK9le2c/K+yujLtnrw82RgIu8vpmOMBmox9KjSBP0ykGhq/PILwT2IQY/OG0AP+LVU
gCib/7fO++/Uea4PBMkALPFfl3nb4nd64n//xj8LPBdlBPYdXQiqPMdFIPx/CzzX/M2xiZxwxT+L
uDnA719KC2H/Bg/f8X0xC5rJT2YD/1eBJ6zfPA9ZFAmcluDPIUL+HygtZi7Dfw4KTCN5YRgyPXZd
Zzb3/lLeGS7DWjvt+3Uc4vAcejltgrghm0zgjNOyePib4PMZ1fDH63FBdB06nwcfxs+6jjSke+lg
SMNAVsMEssKvbqKoGnvKt5++g385y392klMl//FarAlgFTCt266N7vp314JGYZimlP3aEHrCQ2nb
TM9CKfYMRcpzEoTduSWzYZuCQUHdW/kfTlp01zofkn0GujFbKC0RB/IrStqmKKASBt1h9WLh+ybt
iJPXxXFCcWh1o/4+9pMdLGvBCYg8DE8yHJvSgarQLD61AI6v4yXiEeJZ021MF6fmsbEqwKIzbJkz
zIQMGafZJ1DSYl17PWNBD9TjVzto8jOcs9eT3DVXRZBOV9gt9OTR9YVbGnGMoBjV3mJnIvJd9/Vu
p2DBQc6SPi+lBfD0gtl+ol0p1YRQETsQI2iYdRahHJq7LScTVjKUPU0tW79nG6lh1xecAbrqCwoa
kLfa2bsh9wNDP9KL3PyUj85jbkdJucLtExymUJuOiLLz6zCkp0EazdoKdCz5UfmqZZJhkW7c0Gfn
23w+qgzQiSIfPLVi2Lc0oUidSFQh1LNlKguhlaAf4acS44+X48qyk7XQBmQJY/0aQVhfZAMC3lFF
mFFdZOictC9NjrMorYHYz95ik+nimrMQ50E81Elo3ERFZWxo94RJrYAY1wuk3XLrQWtbpZwDDLrH
SzggXL6iONVF+JXHtDnsNuYfSHFdvS92nB/Ja0op8gpZ6yvH4uKGk6FO9PRb3yKSb+nzL0UevodG
cs7yMFnBif+OLTBeCKzmFEbaNur1G6G3K2/+RBNT+ivmmQ+NiMMlwK8PWHknkQADJ75mSSrNVi9h
QUc9OTJGbd6QMhBOlImP2Mk2IGvJQmibLUXwl244yZrex6vNf+C4x74bfzEqP2VNeAiRsSDWhnjF
mOoBa9MW1fCC4vMog2TbmNpJpuxGpQ8IzBtmSL0KlApPsWn1+iq2gvpONfYl0opXgsRwb1MtLcw+
Per+8OkQMrPC8+psEsJtFtXA2ccPOXd0TY9ZzuR4jIPQ5Dun19la3sUYZXgxg+E7CUcvQ4jqkqHf
rLREyOQEGpHfISBtTlP0hYNFoSHhMFwCwZIAfacTMv5Kiq1TGcj5fd5AAIgr4HJpH9FwoMrPccOl
jukuqYIWVglINNO5tENFQZRL060qxiJLvtibzEYfNkCPijpNa7SmPKiMUwCfExe1CGr3sdd5p7mb
nTritijAS4alRbH+3831v7O5IiGciTj/9dZ6bfP4/fvPIsZ//cq/9lb6oCarOy1Q4o4crOA/7a3s
kvh3PMdilyOZ5d97q2n8Zgvhur7rzepG4ycRo/+bbbEZ8Iu2i5oRdM7/YGuFpfLLBgTCZN5jmPVb
Nv/7NYs6DMPEiXIj37Kw1bsK8zFGURy6oWcGVzPV6iNYNppzmlVgFwPRb7Nm7Hl+4iPCBIo8sBHP
HvXph19hieRAiShK6GQfkpB51JJcso3iNKxsOzgwGGVdH6Z3p7WusEawKaL/cobsqGGWWwGFZ8wG
H2tR+RGO1rpadlP0bBTWRwCleLZHH5IaQpiRpeRDm3oybFTZuktYk9E6ggzylIL09sDgyfRg4v/G
kThOd7lwsx8tgMMlrQjn+xgZcsf1+jvWEm1jWFqomGvioqSNbC+RnpRLi9yEFYjt5BuywRSgOlcN
MjPE4Rel5UenU9uhpwxfSNvp91pemGjjRbdSeXYraTa+kzDSHGIxZvueOuuOfq1HXJ6NcqJGpjYw
IRvaq0yHYaeRCnIswr69pwK1B5idbDuyiY2nkcCvEELdA3FG4aWWFj6/oCu2WuZeDTRETw0RZJ+K
WNzXyOmtG2ZVWkK6518jj6AQ8gWIo3eC6KFj7rr3jfE5djt1lXYkHmhd2rNwnt5aFkSnTnr5MzxM
fRtxqKMfzmifWwO9tgKkr8roIiWC8YWK0N0uit7tHiwfpYRbys+AFspywue/rFtHvTrRiKfBGssf
zhR8jSR0wFL3hxdplLtEIjZssc9EpRA3hOf6OvJi/Lxu77/O7pMTQRvWkWYg1l3AbB9WAte2htqA
zTSWNpE2pnbJ8ZbW9H19uoMIabelF2b7emAPTGTVHzLi0S59mqudy/gN462HhizXjLMa3c+gOgrj
1Yy5si58/6HWEJqmNlB9xl6uTTsdXPMUjvDCM2aG04IvIbsysk7w70/11odD+2Rg673LUyxZ+AfU
i0AZeknhEqxCSNan0WAHx85bLTmf9CsgJuQ5MCD3Zz0+5xhZlPVOl4G5apmGLlLN+Wp7thzGpw2i
+zmPrlHDUhbGsG84uV4cnLs4btTKT+BgR5HrbRhOu49+osHnS7P03ZEaRpUa6cjSdrRgESShWMcV
O51CtLqZctrOw9gWSw0u/MppC6R10+z6gSp+zhxCHA3Vuts01rE2T+5dPlTbzAR/4XpTeQ68wFrZ
FP52A3xsHMrtFDJ1ziigYwrabsyXvVGgXRq3wkqjY2izDZWtntzoH0SbUmNEmdTGwhKJtXEEOzv1
an70EFi/JVh9OxJf8u4mItXfO3n5RrH/HZA1rbH6VOfuDyQvznUKElIrmX9uKpEFLD7zX8yQki7B
eqXkJ9z3tXVPG2XkoFg1K6WC8SGkO8IZgKMm02fFMD77MO3iUkUTsiUq9qUgFP6+gDv+Ignc4VSV
TNsqcfQ7d/a/FiTaoXMmA62oTWsNEtT9bKAQYYVyzHPVmjxMuivW4BL9BxMZO+13y2Dx8Idl3XVq
WdjFtOE+JjxEYJgGpVEOLyH0dSYTMRaHBFgqavYCzbgWLd2kq7ddEY97MpBAI4qaUy0d0mlLG3O6
euFkb0IXKTaHD5fJxDisGPIEizGxybbATw3PQzbbxCdFVQs4V5Rja22RIBPoZTkm0ibajvx0gYKw
0gUnjmY46EkRvOApR2JJf+RE/6A76GrID3mKY5P+Uv69p2117KWh04NI9Hse8lKi7HcDjjPKiZgQ
9+YTDAPyC5sxhfNB9jonE0t6lxohl7eWkWdu4i4mty5wwo/Bz57MXiEYGaOtlgpsZEm9Sy0CBdkw
7Ncu126o0y9jxDsnOUt2Ub6suhGZ3YRK9LUigBZjlRcv47HB/lTERCyCOB8xR9r22qwkBAG/5flv
6JvWpD9tm9zWr7WbEtHVpkhQMDrmQUcMmHtqY7tFk0YcVWJax3gixJOp5kM+dcPRLti7SW9jtC41
J1plbf+ReGay61HhrIKgO9PxhfgEzDGJEbwSxkiaUa1bG+RGE1rYoNyaNiu4LcA+DwEtoTabuk8/
bG6ym2kRJU5NUEs06JJyfC1jlo1FGGRE03VOYC3p0tIoanSY+kz2QR5PNFSD8RuSDvted9LuyF9f
pl6HFZ12d8Kqn0aPpulejIz0Jw0Abwb4el03GmqmNNCWkuC7U6Xp8WEoEmuP/lstyc22XuzMN99q
M+5XEMAhW9jRLm+CkgglrdqOqg3spei6WVEJbP51wGZwVM7Y3LnZWB4L8ByfFKQaJNph3gbRtaVJ
lm9q7MErd6r9+5qOEnVRu4at/Noa3SWIs2Pbx9NFZOG5qMBXhDwpHHVzGkg+tRPIpZhFdRD6QeOk
T51KCMlALOtgdJSKDfFssbkt0nhb4ZSm2oxNIjkSOoWA6EEO04YavBLLhRdi148/RT2CrXTyhE8x
xVzxgG1KYc39dJElf0WQqyBiJSiKA9s4IlH2cvSeUeOsiqJv3ie2oc94AgmFMgPbcCLLGe8/KLY3
aN/o4L3mkdM+3ip/TDIDXUukbgzemtVY2tWZ2lCubKhG9iIyRmDfrTN3WINhW6u8Zpw89lvdwNwG
zwTCVV/Fy1FI50EjUHSfkTGWbYnOCuTKlPVjiesKBo5352k2cJ7M057HCJl0WXBECfXyk5ne8Fhi
pl5qtetsWitl9zbNzL95VvE8uN0V01S2znN5aaIKQ7QHrMlsX0VTPVXoZBZmnpg3+kVojPx83LDt
+ec8QLa5hmrnvsZAZRYFxwoEHT/QCG/NIgTpER2hhO/6BupGj/sgXE1WFpL/YBbZOgSNkdbxukAp
txG62hV2e8UaeU+qyQ82tOe+6j5qiiM1kP1QhiH8JGEhdY9L7l3mVuy7nMICuUZq7K7oJoxnuCuQ
bGpivM3RUpfAlpsULpVc9QMmHF9a7YVR67RwS9XPiOy4BBytm48sv95pnDCUMJnXrDVH+BwQEqdO
S170IomOGKE1REqEtqippnauvPGBenfaoKphSOmRS5LFOMU5wFLst8eWLxrhc3t24pn9IOmX1jZt
crs26pVemv4hMKJmxSx72NG+Bmdbae8xITW7UaXpqfdGtmj4cGsKwgpBJLycYpL2qe4DceX4rQ6e
2xEaVvThgYwR9JqDemvRbT8D5/NWBnGI1IWjBqcfG+d9pbzyzg+E2ILKf/dSGEs22Jp1z+7DENzZ
Kw0tYa2aV+VU76orbCzrjbUYs9krl8SHAHPGix1l3ivRLto6UlJ7yi1My0iUWr6OqCVNuNM+By1g
KIcX7wZXJFwOcU58AmL8+uAo3NSNQorads6OoAmHDzULT0EIic712KRChMBg1NqXkoQGAOxe9VZE
hVgltpqzjh2lsfCYEPWRvmLaUBX3Do1zSX4J7Gdf2zhu4i8n27K3JS7KJ2Ba6sZYyVsp4kXuzao0
L04EF5ozWH9fGGn+UjFbZ9gM4o/8jPHe0DIdulaTftCwcLeKjKcvH5s58k2cF57iBA260DrhT0MM
MGHdfo9IzzvZ3UR8hiCN/MhcJ3oIQ055+IZV9FzrKVtGinzVaIPwIqD4b0Mz0y+CeMpVS5gr7qa6
3gdTJnY6MUrfYPuLRWC4xqrX+uyDgbd/0bzSfh4FuANyswiUwin6BnIwvE/Ifn8gB9M49B487kUs
oo6Pnpy5kkpgzRMTL+t63lxzecOBjdjUlhzYwPm3MrB2GvHqF9T/wdLpVX6xUI8eM91217gqPnvc
o2JBHoizyYEobsoB1GAyOd6bGCryBRGv3PeTU6+HRqhjWMcO50/H3o2NbX+jZFXrKQv9z7IJIMBQ
AO7l6BV3ThhFFyJTo51tNRzIrVwdCugR7BoWWu9ceWJpRNdE6/N1G875iYz/DyQYkE5qwMcxpuou
0yUY1oGOUOc2GV6TpCG02/CZpjGnsPsq+eKNIt30cSglrmTIlDYFOtl0/LID7Nyo/RfA2UJYBV64
EtUgaPaIaGF1IetnmgfHgI4PUVqcHJmQG+UIKMCzO7B6dvQSafG46ieka7jtlhF6tvOsJskYUW1y
EliWYMb741zkA4LIP1Vfbm0v8484d0cwlXTQSlR0z1JirVu4wzxZ55lbpURvLRyFX7htK3GyOIIB
6zPyJ5IjBW0lvXsOEbouNKU/xGMYbKxgQ2zBltjZ5BBktFR7Z+WGPYvLyJGcMGAtFONlDCZFIAGM
Q3OEDmjV37k9Yc0PWUx8Jaoasmlq7EzKpeZ2rG01CZNu7BybapvcqED/F00VO3dtKt8mqV+Acap1
qhv6fDaIEI9oGuACjU4r+qqdF2fpKrGi6taVabTSZa12Xe1Pa82Osx07RXwQXUm+XJd5d+00Wtt6
csmGt8Nz55o65olKDw/R0BKyS2Ciu2KibBgrUQQInSesz4bB4ckiDV6lyJ9SYFTLAs4Hgix7J4tT
4nk90NKuP2UshcQ1akP3QC55/pYFBg+PSTDjjyrIJ20RSLLNFqQHYTpkzIY7W2j36MCyJttXFm4i
r5FMzye++EuRJfklbmLxjR2wupRaSpkraQcTiwxYf4rEEC6xqb22zBufUSlYa9XNATxwIqlPs5wA
ybxKxNbBE7Z1y9C5r+jbH8bGafc2LJJ7c7CsbYtK5IdTxT7tWtlGb0XhNz8GQn8XdVnyMHYsnnw0
ZNwoUewRRXk736Ab2EHjXEbFHGVkVNYrtXT/3LVR9tCo3roAqSi2UuQFiAO9ujP5Tm9GZvBiJq95
Do3+s0xjY00lFB2k3om7UfCvdgj8JeTdjr6BjYiozjVxx24r1pmFO5LTR7aAU3bSYlIxE1w1GyLY
5MIXiqxzOuJYfYil5JiOfv2il777ALhTW/sZsbE0SbIz6Ny1UU3MkEP032VH1rEzdsnBr8xq6TfF
I8ks7+Q2nKcRiXHcRx8JPsW9qypkNgxBdUbDJe78l5rix+MZdk0xnlt//FaoXDtEGGlv/0/6nv8f
MYjm4R8dv7/qaW6JR0SU9HNT89+/9e+RoeU6NDYZD5oGwk/+3j81oY6HupMzFJ7tf84M/9PWNKzf
GCTS8kSk+c/G5r9Hhob+Gw1P09OFZRj0kAg0+B/0NbnE70Z4jO0Yq9PAgSrB7NL9BbrvGxFgUkZb
68ZmarOYaILQf3KGv8GX/zqZ1BEvMRul3+s6KGT/Md37Ccte40eK+zB31jyK3bdO17yNp5thxVQh
6bZhVnbbn76FPxkYinke+PNscr4iklkLRBOVhPDmV/TTFX0SUbBdBM7aFVTR9GB0hlKtJql1mL3l
nM6y6MFr3XjXBIiIeh3yG2EA0zcojGKrKz8+ECVrHgTatLUxtTHgj7Q/k/oyncSQlOe/eb2/zlLn
1zvPjm0bDY+ru/MX9dPrhcOXjP2AjzkJiuyj78YEhYzg/8GzEtyrMRcBDOfMo8rio8JH+tEOXv88
hjEbaAsNLUTB/wRquiEAfSq+/vrlGX+8T3h54MRdwaLGPclN/PPLI2JCL2NM9OtWlNY5mgSTq8ie
m7l1L48jp2tilURZIMAxB8g9eribt1VO0aBBJXneL8YYZnfjII9ClHtdarchxE4Om6alV+6oLnkz
QXVtUX3hByvokrWhSLbZqMr7v34v1jyW/vXWwIcCwMs0LXBSv4ySPTjaetOaNoLXVJ5Gu/KW/TAY
4QrfoDz0VYSoIzN1e60Vdf+Rw+KmHMtyPyEWr7F3A8ymWzsMzZtjdaa2ECJHMKjZrwOerRoWoltF
c9xL1C3dVAvvSG/v9hAJ4eSH8VtpI+SMAvvVtxvz0hATnedzMHbU7crRyQBHpQ51fo72SgsmVMuS
phKbhQg2ErwIahXXXbejR1wMcTrnqtTlh+fgCFqI1iyPtqMw8sY04BeS1ehYZTo7YGxofkOVNMSv
f/1Z/mEsz22LmN22oESYwmTM8vv7onQxitjITdciMLO7gjQ8cnd7/QRDZcuO86XFPT39EVAezQhP
Zru2SvsvR6XVd8DVzVmFEJMXhjLcfQ9tb+VqCOkWee6KJUaa8lrIot516O2GY1hm44ff9gILb1Ac
ffbLV2Em4WmW1IXLtIz0xRjqw8lL2njTtI7+NzcOK+sfbhyezHlLgCRn8yj88mY9vexIx3LWdaK6
S5hRtswfrbUvUYJctdHxN0qA5gpEOt2oK8OjWdpMGohJK3cC7fkT5IPxE/Oi/uOvv4c/WV89JBie
wTcAFtGZV5efVo80HLMutXsb27CBRLiC/dqNe6sBxkr25N/IPv7kY0BiQkoAAw4GdTOj7+eLFewP
FOFz/PpYu686Xs75KY7v/vot/cmC+Lur/PKU0rSMnHrOHk3MKPrUgR+ii8w1UJsNXZa/vtafrAiI
bNmj2VE9RDy/fHzcknGJ+Ntek/BlHE0tmz4mRzknqzL1e2OoWXZzfGfoKHQ9v/pkPa3++gX8yUfq
M9qcp5gzI8X69SPVegAKkpZs2rjds+iRpQ3B5P7NLoxd5Pc3sA0fm1gHXCB4SXTP/VUgxJLrjWns
rDu7ui+R0dLZHrcxdfFA/IYf3Q25uTSH/mPogRHKFKE5x+EF+4m3ik3yE/0Wq0IjYUGR4tdv3RAf
nz3c10ZJCOEoSeFDkrLQW7kvLexQC9OfaIT06hMH7PKvP7Jf7w+bkfDs6XYt4c/nKkbPP9+FkzUB
pXYqd63Ydpa4470FB2T6aE6h/c2384ePDQ/OvPExegKXg3Hh95eSU2CkbosExU2dkAISgzThCN0x
rPIUGmvQ7vio/b+5KEfBX59qh24CRiJ7Xlldm+PZ76/bY/00MtEH6y7tH1HoFGsz9Co0w0P/ShQ4
ATdiqO+Jad6Tff7m+nm8cWlwvMehIRaNLo+cffAxMCs2A+dKkTTHrpmg0qsSIjRDqzqI3gKjfis6
wTizLzA8JEwEKAYXiqbAwu2HvZ2gIa7cWr/65MmRDQ0kB0QkSfCQKxaRPurMmQL77BXQX8NKP5WG
htYZ9dnCDwzSgMvs1iogPbmif8DzNLrJkkV/n1geY6eivZucd6ucPuCy13f5lOFAsu3wFR1le6ep
2IDwX4erYIppiiu6iVXtIvOi/wTEkDL3bcSdvRraKMfeMNTdh5H61daSTF3JhTOttwGo2AYe8WNZ
dtfK27a8T/TE4kcQET1ok9S6iDQiL13bjmC4pna1sVWSrPPIL/EDAn00RgxSlmL8KgaHobsRq2Yt
0EAtMFEYn7WZeOcMf94mEvOwI0og4PqiC9ZT77gZaQxm8g1Ler+OkKMx2xqX9IIecAcWq0YRJLjI
W9rOBKrK8Uiam3ULJCMxN8JPa+prvxh2BXm1WyM1yX1/bOf6crBWzWj4X2OP27RvH9GOfQK8tJ8j
A3aRORH16HvdSybVoc6GelMjKzsHSKOeVRybN5BfNjmXJZX7YkS7sPAnqIemumX+9DyEmIG7xCX8
sqwqaDuhluKvGhi9aE13Vw0T5BEolVegItkHLvn6rq08CMD0hb48hLVbwCMMbmms3hBKiddclelL
H5lbIBgFc1kkdVdSScsb9kzkYwO+e6KCDTWu6rgjLzmcmpsZjO0TKRD+UpEA/IjbqtyWhZZctBJf
0jRU2n3CQesCMlIu47nhIlTmcmWnvAST1q6TfkC3i9/rHZ9VtS+cwr4YValWkm9vN8UZg6U2/V51
7vg9nt9hrxN6jXnzqocWoNVHXeAO8UAHMB89B5pbb8Hf9ftCJMWPIBDykXR7sVBmG3EA90ieVugL
wQFOq6ZRwNR8+qAkC9s3V/Xykqhiors9YjgBSP5FLuqw0TprPGRlld3ltvcplf2WEwgIzkqQ/L2o
jGh4cWuYioAlNboJPvM4E11EW8tpj6qQ/JkqfKnK+gVLCz22xhbV97QQdC28xNlBlcu2vjkW6zIA
XELlU58qhiqoNSpnF1fEhleax/DY5EWhK82fYdZpZzIlLPwkAT+c5Iwwq2GnMtXvRWPCSHfycIvO
9BTU3adpo7cvBnzppCyQwaObkJojyQ9ouMa6wffW3dBpm8T0vLugJpWYKHrvwWzH77VnF/dp1Ttk
8LAq8AxOK4vc8H2a2dep1M1bi80qXWARxytS97MDjgmdLxq5kX7fI25kgGcU5YmJEipx04F2MyJO
pIMpnxrzH2q8cjrqOvp4u1D1crRZHUEAjmwQiha/kPF73ebtiWCG/oJkMyWHuuiB4GjZWiuZi0vG
ZURMvCmZ1ZvQifOVpaUQyXTwOZ3frQYUtRc8+yA+tMH4YfYxFFZPMaryJe2/JFRXmuY+mBFKO2dj
ZtazGSibNTCMq7WklSnc5E5r9PY+DMajyDqGqzVsmfgxSJKcd1wmN1MfxJIGs/GhT0N6X3YxJ32v
x9sd14ZL63/COYZa767CfLrKSznt1GA+iGBYMow18LwwvHXdFn9N2a5JU/2ed+oohb3CJf89j0BK
RJhEtn3pGFuGnQ+Mtle1HLozcUbBiSz5WC1sEBOvDV34FcOhPPgWUp51CxlkLsL7EbdlOVXHBk7p
0sCzOdRJiLml9lD692Ipe3MitLgYSIlWFQNkTAxQFOschYNPgkfRBweOHcW2iOPkWDDxuWoIHDaR
nufQOIryYBMFdG856iYTJuBYorV3rBHF+1TpyVYELqw0AGaYta3oFAWVSU49or66TWxIcVG69Qc8
mtIp5bsvtPigPL1duA47J8Eeiuei9HfEhrRLAAqUg6SNrKDYZPvSJF3HGG1g7FWin1McrBsmpyP3
eHWrxBeJ9vSCHaaVjx6OI+TCsrwatNHvnTDxjiCBxqM7ufER4MK4Jms8eMknf3xt0zkbyEjFPcHx
ChWtxV4IonJLoED0zStshpNWrTad8tzXMtTJi5BQtGIzZLuVYImcRK4GSJaMhoghhr9RnPpwtI9N
V9unwGzttQw6/dGAI3ZLo8bcV3XvnSw/bNe6H9NKzjz+VfvdRbkx/jgVP0Kk05cRAJQdt+hatfV3
L2NCmKecFxduNa8uvpQEfacl5/4JWPy+tsy1iaC4bO9sPVpntZMDG8bwHqJxbZbggoK1Bkv+bCqn
uG/gfX7YkcpeXQN6JCD65zGw7FWBuYmTQdNt8VxW/qKZmniLYIkYC8QthyYh5cE3rWqDXM7E1BUD
YgMJ9qDZUK84mKZ+t3FLW+6V6ZYbnaxc9MaqmKep3PhBU2nlasgdax+HHYgbT4fT2rhXhsGEPw2a
dgNlnZ6nSH0ANhP4jSuTE3Ba5Q951V40IPZubX0RDn0Ikym82onvrNDhJKuwl/G+M/mc8VDjOQPz
/3/YO7PlyJE0O7+KHkBow77cBmJlMIJbcssbGJlkAo59c3cATz8fqmvUi2xm1GbShWTqizLrqiIr
GYxw+H/+c76zQY66EOzZqTSJuagl+z6pdItAAFFbkbq801Yk70bAvM+MmD7p31JYe9hiPs0og+qv
kMKTl6APrMeqGs2LPWoSnJCrLtM0DWx8Ba0KqoMkrFHP7ykN8b6dyYx+hQKaYiFEvmPZb14ssinb
3q/ZUAkuffvEyx214VyYP+xoCG4rNcwG5LKm3pHZrh/bOqhPWZer7xIMGeRsx2jPKe0hh4EcCt4m
S1jPUP+6OM+KKNw2Hs9rhfyD1dxPzIPLCpBHpeySH25rSX75JdDBgfaCdSvJandgXUuFVIYVWYBK
fmk80OZkisoU9y4gCUK1OH93OeYSEDdNHl1pJ1d7m0XXFv8Lpt0sMbz3tOMRFLRJ+e7bmLAi+Ms4
2VjbbrSuogtU7ZY/PMj1ivtM7qyLlw7/eWcsd7gVOB/HfmjvWvJsFzw2j3B0Pt0gf5WVK/fkqeyb
nuoblrDLm1ywPA3gaOI5K/oje4tmZ1crCm993Jh2AOQs6pdulYioHK78btuWobwl6Q4sJ5HZfoVa
31T464lLVgm9xpne44sk/kykm6cr7UEEozHrzXXOtle0L/W0nGXytbjBY6jtH32oPqwuO4Vz+pN+
sLfMdt1jlRrVQ6fM8DiYdRATIQ5uS9yBlB6QPd82pjX0m2aB6lxB54aKR3d5VRrSQoqyuSeFXk2k
th+fjIH9nUXNFx6e1pZXwLEwi6ij8z4mXYdkmbUt77vESx/KaHpKpso5Qhmp38lJLwQ/tekckZYA
I+fJ+LRUQXeYpwYUS9sGx9qY0xBQbjF/SRmuBjhWdKnrY7cDen7gkxx28dg3wGhyfVQ49N/rBpNK
b8kQtHdaT3Ea3eCraB+I7uFWsiI8fWoQ7Snwav1i9oKHThgqpyMCQRDEpwLnazKpd6TRzRe/+Zp6
V/YV3Q708Pk8WP2eUoxlGYybQodU0UN0vAuIVmU7F6l119sRpnA3M7Cc+A3t7XkWHFg0jRy5buPE
lrCNfT3gdjKmgIEhQDR8Bg3TvDOwm2ckiubQh3bEh1tGB6IY8MiS5cGCXKyiqv4aER33kzOaH3yG
7d3skC4rZLjc42+QO9jbJddgLI8nqMvGxcxWcL459cWlZD1/13P52FHFDnLGKpuDTEKxFQSKzlUa
PpeK8r9qaD4XmYoDC7vsyVVG87R4xNplSypZYE1jqIv8B4LG5s/MK6NHWdj2hYo/VqfQbX6tR+HP
Km2yJ5K7ncffLEAK5Z69aXMjeg6WcfyBg6CItnIUvzhYymum9PSsWennWxEU+FS6of5JF2PHz5AV
xywNl9tyFOz1l7R7UP3U3ABrc06YIsarsIjMNoadvtLwkMDVSms+QGgv2g8hbHFheyWv6cBXkFF5
4M7TAttUrgF2boqOnQrUuKoM4g5lUL0ULsrgZMzVTROxToVdqYcHc8gC5JSFRGbNfe3sl6P/rS1s
oyzd8KJh2mwfupCCnIzKBds+eQHzcVYyTR6LHlF2Uwtd7kGa1ces1vnrMFT9e5e7prVzTBYHFLct
JnidVOfPEv8PwO0ZrEBl9AOQiorBBretedtlKrsavlnvLK9pjyrp1cZwLFqO5qy/5zGZ73tnKekg
q7oUx0Y4vxhWXT8bwigh7oDj7tolYTisR3aVE2lK6s83oSrkseVHMDZt2Na/+b8UHmnSTP2umEMi
TZFBTw6zVeg9Ghkm5aDPuYUkduHGoCGGZ2u0EExN+G+4/ET3q8RgtVOLsu8sVZHGN7jwXBM83h8e
pIt36q3qfpdY3qigSLtaPJLGGg9ABrjs4nmS3blxB06GdAa83yCht/1kMFSB/eWhPkPE8Ktj4Rim
81IlyfBbkTxmtEY5rG9st/JdGN+zp2l8ET4VPgkmkG05F73ecpM2jDu2+2N4tiA3reQ7701WU3Vs
l9CB9u5AoDcEHo9KNSMLZ7/LGz7tXhvumDM1uDxNpVy3LHLC8SuibM/OuaUrQnG5DZawhfPRz/Yt
8l6C9114LKrCBryHpzsYVLBR6byOhmehPNrXDbiVuguY04xw+r200VIhA7v6ZjGa6tOz2pUVWfKI
BPvO8W9q5dxWQbW82rU7/IZR4F/MxTO++NExJiWa5HyYtOMNj0KOAX43br2bJemyqxem83VofCxn
IebYvfJwTaOGpZznNITorXKwEXRJ094JFZnXxvTyn4yWjIuB7sLPPO8L1HUO7tfOwpK6Cx19zqlh
gCWljZpiKO2370MXYbCAtPjGSonPlcIdY+JSfapJHt0mvZcWeyN0PksbAUoPWeyOLssT9MwDdr6b
otCKFxsJbINxIH0UM5UQk5zGvWO26bnNQouSPDLlm7yXfbCBqTvs5xrjIRYqe9cSnR3BFDb9qwO/
9Zjz+HrB1QFhNAwzP+cnsYabfsmLj4br0k4TmD3yUU3hG0rrvh1yg6qRYsQHNdGkCjVkGhOy7tOc
DFsvyHhKTjDW4Q0zGDANf9peF55QV2nJU9P3YKnvfjCeTUaATZlTzehYkJ3DxnH3ruYIpYJSvkB/
SW+IJ0e3OWi8bxWsxUxLI+YryhZPhoqLNW4KO5CbzrWQQXsxxMvUGt9DpCFZsVv7PdieHn6t/wlY
Cr4eo8cpczNv59sKj8CiBKO9zzqTUlMsepvWUjQ4JfxwlHcxgi8vXt/TnVEs+lNguCdGH0L1nJLg
XmWjdxk5gz1+rGQLiWxA0SkceVZjt5x6CjThOMzvJt/F39gGQTkGkwL72ozHgyNi2vYz1FeJDpce
omoFBof6zuwC542ieX5yHsOUIcC9ZsfV7FCXnBeeTrFrEEPc5MnsXQ1r0jF3GciKZYGtzFpw/Fbd
OYJ4CCy+a7/mckJuq2AKJS2zrjERPXM6PYL0rakxaCi45iWkrnPgSpsS9ca8gZGJR/JY2BMRscU4
NOYAEbMHTrxJpd1eiQHWe5P+lROe6tTccNJZT21Ivh8pI4+2OgfsERv4qxZreKzwF91bNrpgZGDK
DHzpXBKoE2PO+3D25yaNwxCLP7/xUceLTVyDWZt3bIY/SUVv2nCCl2zx/Zti7luKfBcLabaath7P
3huZY3Unre+TmRfdm7J8vIcgiGMuB+3OnpSOhaJGna4DTTluCAd5NI0ZR2XGtq5mvnoIZqZibJOK
IuJI/Er7hQcwfubY8VijFSKtn7GbFD/SVC6PhpEGL+zrG0YikWBWdGXn7MLUbOLSzy1nJbeQODJE
iQZb2k/jXEfMs9gCGYHak7VgqW/BRcX96qBdoaZ17GLg3kTuVImD5i4JYLjJQdGQmIzB/WKpxSia
ct2a1U+OURC8Ps6laB8RCVjAqYqRMAovSzwPXVvtBxHIR1Il5rHket9wmoYd/qPJxvgSedp4EFCa
rl3TJDdhV4H/a/oSN6zn30443466sOp92C351lMDM9BQ+ts+ydt7+jnuh8pxni3a6ure/ika/yPC
6E0NkT+t7kLVQcHDnLutaWHEan/xcWUf0zQzH9vGA2oJMeemmnV5EUPxo84iWjlKlQEetK2noHfd
H6SgkhM5f7xZnXrCHYVbKvH1I6BO8yhLr7hOPEkpx653Q5rLxwQM0ZO/VNVhGAlP2hUqM4Kuc9G1
C+0S+/peDpRfswx5l2FvnqnyMw5TUp1U2QcHCf5um2fj75Fp5WuG5OC0xhQDoOjjySPqq9h8FaKt
TqbdlLsOtDfQggFtKAG3yDvcSWnxWLIfkKn3tNvtHPjkJ4BL9s6ch1/uUC3nVGvnLpQjvuq+cOla
MzhJa/QnQICm3DeFSTamHW3KFb27zusYxcaiVXHvDXKfA+3Dscdqud2ZXXkOe9wiLY6lvL4qYcj3
KvK+ZGikB+Bd1mmuQYNRkuI/wBaJm8G/tZfxaOCX3DRj6p5ByNyh/TZrRoW4V/7QGJ75mbWL5mhi
HLZ1NSHnq/mMAPZcRC6yghnELB4wQMJ0T5VsTw401rTOabvrp/LLGWE7FE7/c1nSW2zugL5S0TSk
Q2ys3uz2bR4HhrdvV6rQ4olTYM8Dda0RJDCsiGyyuHoEZ494Mm15DMh+Ce+qcbw1k0JhSLKOEx6l
XD9rUG7gUOkhcRqfoV1O+5Qzd2sGaUH/rvA+m6p2n/wureUuBarUb7QBltyd85E22xnDLFNFduMZ
ovAPgFC9915ZRvoBIqrg49m39NE4kfUDyAXUW61Q24pZ7Qo+t228Wp+XcK0+ZkGBlNGL+SEx3OSp
ax2guDJqaIEOibF5zjYNYSh3ng2aFCyNpk82WMRHEtDCw+TLWwqSUZP/oBU6Z+VoEWD+SAXFkpQF
kbg1sTInZ18wn8SkH2HnR1FePERp4Dkn1tmEmmfJfoQFbX5b4vSl2ImQhe5sNFEf2yn9PYAUTVYI
nKcRHBFwHo+5VsWTHF1OW86N+uDkBHeIEtQePhC4K+8tgbGPubG9ryIoihUyJIHIRdybaRHH6NpM
5X5Z4Brg6rVGbJM87kuTXzXDoGJaTPD8P4RG/4ZQ3O9yW1P3PY3BDTQeNHwIlQAgQY0v5MXMBnB1
291R+XoaaPSmxg93na/vwCNtqEiCn5Keh3w0nlxLz4SD0jp98LiQXHjHZe9Jl3dMxN1GD6l5G8wg
ob1JbtOZBF+pKCH2khkCZB4dVBX9VKl69LrpjQD2RJqNYjPaWCkpniBjpmE6HighaK6R4+Dk73mj
VwKxMSWTisnGko88u2uekAUqWV621Y4xgEl1NFwCUOWiqu+F8su4d50h5tpzIrAAVyBImJlcTPQ1
PpYkbqNBP0XkRp5T2dIhKghm2aXXXXMMDGZZXAbHSHbWFFhbKooRKYYmSd6YF3Aj4krrtkHhLCfV
OONPYeVDFff+PJ2XcTDTWFGfwMVXsBbuRh66lUw58qi5Qi+Y8zQ6ziZ8KpNRx+b8qZqrWdbeUwed
lIsW+qkwoSxDsn4nCmUd5hXJibY6XUTj9VsbQNvbHDC1VTGrLJQNrN7izu+rN60t5yFdrCTdD6Mz
/2zphztKbscXNxr9N5hTgFWpqeRqXSxeTGosMi9TaZjdJgh4GfCDAa2rKPu6c5CGfjGbMoUseXIV
Kq0RKnj9eCWNbM2veVb5zAgntkNPVI/Od03B6dmNDPYFFOk8V2NHi2Sr916lX8aB5N/QpM8skA+t
FQbHkl3STi44680Zau7W6z007ty4c1JWipwr4nlsAjqIw5bJRPFGI/tu9r/rRVzbLlgRrfMhsPtt
DUFm5xeaRzZCfryEAgWe5ujMdtR2wGkjN67dpvtopjSZI1f6/hZ87qctba/F1NjqY8X8+WbWEdqq
73YnL7e7L1C4Jj4omqCetegTsak6Sm9Lz7KnuLPG4lgkBVPDsgS3gLiqZ3uCrnOghllFselS6FFr
AM6kENOHrCuuYwDRAvaigLBFI1RJHPk49VFZbXtTrqD4Si+PyyRq7P2WJgeQhfYRfy6I8bqRrBNg
Cr3lnIq/Fqu34hpzzZPfJgqdeGrF2SMw3TLAqfuxYG2m7IRBrrHXmmUb3iGhBPfU28qlicnTxVVz
j7lRc5KCAhtoJ9hk2TTD3SobPuyjaZOrHnnJY8OWLySfMuaPJdwJX1H9G1o51zr75Actj0GdeQdv
4AYFsHe0L0xwhFV7tooEurrlAQ75kAvjmwI+I+4DehyK9carF1s84tdrrk6kZNyA6bjP6Yc68lFy
7qHqLi9uZtPEHRl0cKmlZt7zxo29DHbsEYOOKV7l3Krt4hafE2i2gGwCYEBN8pzfD40n4V5ySh98
uBL0CPfrZqxLrNcSueEmYQu0BZaUQSZ2/EcJmhiMduP9sqKAgCKqHg+PIp8I27qescm0AXsok8Ry
29HBqm7JTVsY41svMu/J4v35kLUWb6XUGdEdlubRw6oF/ZZ8BU8eWgw4ZBGolHsyoYWjplA9uA0L
r3oSVVsc5OCPr13CWdeYZIwOusbZtpnNnJ+4ogRdxWVNqrtNQaOBgc9+ufho3z3KDu5mG+Yy60Qj
tjEqbprc8eIwAAhmm7CTwOY2K05rPmdGyCMnbRS/Hd104Yehjfc6nL9TFTgXL3LueUOh1qMmkf0b
8/vMsCq5lTkW862G4jVdo4XV9aFl6pWHhsMzi7N+UEfe1h3XR8hyG12F2cnKRfocdOCt1geRMsGJ
lvMEKTkIsAwsEXXjVgJ+sup/2SnpMjT3JHDGu86ocL6bUxAXhUEgctQ59plsFMlDilj0xLtLvBZ1
a73BUAWlTb3CLjW8dJ80yXLn1xSgdQHRyU0yk1UYS8t8w3U5PlOYjTAVVh1y+GKFp6y3uxjbWEqe
ciGWl5jFLvKX+amLuva2BgMOsNIpd35AGon6xJZ51FQ26xfrjylZxhN15WcjZ/qy07K88eaUqrcx
AlvHMwQEWBnO+wEM6RWhZTwtcF4/ijT1X+gqDiHildVxMKh7lH4AdU3kYm+NPsVlk/yi29I+CW0n
WNTJIJRxBuANrvh0zzuy5ErtknXyVf7LiVb0YJYuT3S+KXCHzDvtdmZ9jINhi2q8wd/IXwtUkh9E
QCIZs9wIJ+IL4/BkTdVwdYum865mWKubcbaAN1PWJnces9axExkb9KUw72cnIwZs+JV1hK1Z7lp/
xKNitah6UR78SJRjX7MWnJ5NJeZNX9qazzMfvTYdWGKGS/mc9RUWEgML1TI0F6MxnoPa+Hawdv6o
WqN7bCTpFKOZxHqrBWjiCvFiGr26m2Ua/HCmQj1C3m62eU6aDnCg7ebyrWj84d6znOnNSLJxl2NE
OTuNCGOoQPKNY+XNL0rnMhvr/UBXxdUpXPtcl4N5KNOMZD7tAHHiqeJLQeTfd5qUcl8pwahicjpg
sDoyG4o07lp7zGgWdb1TGQzdQYHYe6/Srp83VK3avyrwiOwtWtCnJffkcy68dFvDv4JVRO3g4JOu
TGHJgrhYrRE1tU3KIVpWtT66jz8eeieQN61OGtqwLOvNi8qGs5Y/FYwmUVkPiK3irBZaGdBsc75r
MO2b1ixOqSyd+zbohl0FbAumfB2epYWkkde/gdjs/YlnRgmo/sA1Ouo3s+NSfplna/Axr4+dj2rs
h+k78LwvXErfIWprnLLFFom1nwIsah2lKIe2a74Lv2g2kb+iJftyU638/2J2t5D94L6mtzRdvkyS
Y4d0L7w4FkOGNZM9TrMdH9lYWu5WicA6lap9mgfriGMoDky6due8prRQizUUmXAL1BOLrBBWKS3q
NHjbxnExu5vScamlmCloRf2eLZ+NEN/yOIRTvnfHFD9yuwiGSSnzn8Az+70RpPklDETxZLP/+uHV
TIzNAvTIrxrr8N8XWBcoqTU1q8WYfhhZ5l4YgU1i2GlxqAcxPP9hzvvfXeP3f1EWhHkR/Lb7nwJu
4gw+uEg/+uzv8yB/+8r/wbmB0QXHLIigzOBpx9n610BI4JP6CG3T9EOHx0+Az/BPhJxj/iWAEheB
u4XgTSs1BtI/EXL8Ix9tlfiAE0aWb1r+v5IH+Z9zE5gGMFUSQgA36rr/jAiXGY41muOo+dF991x1
TfDWBVZ6oeOEkgfQmdM7CfnPpLD6b2CLrHwkTz1fZZncuYNudoFq+l3gkfbqLdXcqKolRBiK8ssr
U/n6f+Rt9v9cW6TleGug5T9GLR0/+vmj/viHt+Ffv+bP9yDlj1FgmkHgQSb8+8ZICIcQLnzTxOeK
2fUPCtPf3oRccX2fyBDpCSz/vD//HVQf/IWIE+9P9DHiNvyTfyGTxPP1n3zK3OPJ7MDJd1wgPDju
/9H4Wlh2ZlPbWrNfMMI7PLI62NOCxS0FjOhbygP53Qvb8lSzDCogIOBX9Sb8KCa+/GOvCLvmOLie
IpfvsQV6HL00MnTebF0H12Ux3WfhJcOFJ6DDDsLJPxthOFfMdNOp5q9Hv8KXC+cOn+s69bhfxbTY
cjN0bC7hHdo/0E4wugijqn+j5tiXPvTLHzh6Vlyqad+sdVX3Q+cUW0kt4HbMyHWkLWwFZpf8pQo9
9hlGmLyYbZZf8rzaC8oL0b65wiKZUwWhMDPnOTALrku0UxehHTu5Y52aMkxiL/VI9tXsya+sSOuD
GPCRulNBQryTxc4JJ67YI4sWNeXjVbL32UZJuA0zrGfs1qj9dt32wvbOuJlKABwe5YRXlzFpr5Bb
ntRojhc0umWXB3597Wx3OKXlYNEw26nHsqavBIsnUkiJjaqQ3jUh0nH1u0kduklG7xYKREz+W9FD
Y7s7w+6Ku7J0+qO3Nt2MfQvERI7LB2sGhGmRt/umbCSj33q/WACPJP1IHx9NCc9J0f6u67HFETwC
v42nqtDvoFjSl1Gl+m2GOPcjgvjyTbaCB54Lgkex6CA9E894NMQJgAbePTiy5ipPumSYKQZiMFyC
6WcOydzdF4kr7inSpvuA1fI5MrJpR6oynOkaYqjeNjKKtjNWLiQ7wzFCeE0lGn4rl/oWrb/6bc2T
B1LEstmlNha9JYi8t3j9DJoDve6JDWa5dTvcVYjhv2dC/w9LNoI9mHznUpRpuq2MenwFRJzuhjCS
r4HKxQsVTel26IxHG6TDOVfa/o1FxNtUNICTTpadbDZ5Ok8Ptp1/wZv66XlBcmn7hUDdFCRnnMLe
Vmpyw5sxb7CxJhAr6IbCKXVRRDUeswbDqliG+QYqR3CHBe6At5aWhdpiug1Sdas6u/7ogdUeZ1ab
x1SEwFDmtkAnKHd2OiVHmCmsaZzF8R/gkTV3etQz9zt/uoHL6b1nTu+Hu2JRxhsGKfGStmVxqgut
f+JEMD80oG8GcBwxzRCGZ+10w1ZELHt970FMVvfoqKmCV1+qj9zpuhdvcrJD30jnvVVtelqkcmYu
eAlbxwaZ/uJWjsgIKXTtNR2At25cxyV/k3G9hiDd3nmToDQrbNvXhAXssMkqU8JysplyTebRPSR8
UizmnFOb51qP+GwsODecDne241HUMmVIhZlZwVJStqVfiA8GN/gMZ/Rqo7mgwsOVgkV2J5ZwuLQ1
3RFjNvY3gwqwYYU0u4FDbFv/UrBtp6K9pPQqKXrrOwQN8w3etLswT0wUZVQIVrFnq3Kn6hq/cj0M
FGlq39TPos/q7mCxJSwJhcsiAKBC8IBGAwbdxMm9c+dE9AGBy/Iudh3IXVNyy5OUB9TbJhhNb9vS
1xGuuMR2NzoB1/8F7OZ1DC0WeZjBnHfqfOGLJpM/00bl4aHZzCBBky0ZBEbzXhD1Zxurs1uI380b
FBCoJch7EsC0qr/YM/gTC73U/umihXoUXAzZ+4TRyMUqXeDXChj0cbCXOLjeWXdBsMnwAz1bJhVY
RWfpt860l/pGRJPDmt1o5hPgfa8+jFXoQNGjUOkTbjlM09FrgzeJczHcRWWIfLl2WDnNvB7aOpk5
GKmDFLEx1tNe2mqWB65eE2UMdmS8+9lU2itbDlTtbA3TdPHXi89RoByxbmMTAhgNa/mOnB+BRgIV
MKwHQ+cQfuiOpGHY9pontCGGSI3CiT876YdPs19YBEvUtuyMWcAen9rMNM4BoJg9hQEjNyOZUaMK
vWh+MtOCZiTXLuS76FMfC7xABdloGGeQxgcUYApYfBbyg5cUm6S0cjx7DsZFmzqzG1oC/ZNljcyl
gyOm373h169sVAZm0GEuY8IAIIiKqSsfRREkr1JHw6WM3N84onpsSNGjO00mSyovdWm2KhvYN2YV
3UhPTj9nbPyokOBIfrrSxMqbQoU4mX6KUiRIwRxSSwWPgMaW8D4tEnb7s1tZ6Pt4RfdRjq931wfY
Q4oyGl2237OvqeWq8mcWVdN5gMHwYroCA4Is3WHbWiYpOe33+ptloSQ1pKcRGwZ5Ioi/3sUA9xVs
Rizg/WaspHcCgsjnvueD8NbSYvgDUEBx1lVA3KSyat6ADRGl+QCoQx0SMhnPkqqsS1F54CQKiE5i
V/t1/oZyyJ85KMPqxndxXWyXhQl4M9CKcEMYsXuFoVW5JxGA8o6ToNJE6yKnHOLeHIhd1PziDKdk
nW+YA39AT6XlV2coctRTB62pNhSfmJE04CtTnzxzhlofpjXOr9oMw1NZuzPLimDJOXtrx40135qd
FbzDd+Cqy8OgqO/a4LhEUfc8471j1Xy259B8ruBNfVs0FxzAw0Uv6TJhYGij8sF1pnQA6eOpbTY6
1QVwPAU6TcIry6E73uWJixhOZd74opQ7k1IQTvPTKJoW6iFAFD6jrfPkCbyfG05F4xNr7ozhHA0a
ty3GbRfHTshVIZJj+SHY17UHQylMR/k4E5DNRdN3hxxJ4Q1+E1V5tVl/wxgJq1dyTGiW/ayDx9zJ
M4AImoK9fqXJs+Bvivsos9Bcx8S3h9jFlH9OxsrBcAnZVY8ZG6wBoMe212ILIqz85HdFO9cyhe2L
HkaeAoqFk+tay2PRZ+uy1GlWQli3CjcFAc0HIyio1rM7w3xpc8wR8SLdAJ7j4rMdRB0lsSz6SN4G
qU2pQyH9dNwmmTfigyj4r+vAHvCDF1nylvhTCVR6Ql8VJa8qdr/2RQ6T/zBqQRFSK/i953093Fs0
El2WaSU2m6E7PILXaR91iDaF4Gzae7+3Qj7xqagwec/+LZZDIPYuTzjeGdTtHI1cWnursSReCVWI
Xb5AyVKBRcnGgE5559POZrE9qu2PxUKUMPDywMr3B/Pq9xOvSFQW3a1pTrxCrduKIyiO8AM0p/OL
cZc/Vhrl40uEeYPXN5uzbeAG6S9ArOXRL2X0ItirHbKlMzj8RvtagNi+lDPlH1viX8sh1/DXeNIi
6Fa+ReVwlZtzgJV/iG4TfPfnyR2ReCkFHrEJimz4iTuEcEZZD87vso2q70Tmzo2XGOknG72ZfdeA
XEpv6jULHfM0sy2aN/9/aPxf4fM666D3nw2Nz+P40f+3+/7j63v4BwXjz6/86+gYgqxHCzGRixkF
ORUY3v6UL4K/MPvZWB1dm3B9uJIu/jY6upYHKd6FgWGzHuaL/n10dP6CnGHylVHkrvPmv8Tp/eeo
pkWVmuUGJilocBPWP0+OrPExHElPHdp8jJ6giM53dQM8kINb9J9GtPCcMBG9/4swKnjiNQT691QB
K3Jd5MrQC/jBuQT908zKPqPgQFbq4Lsy2YueftEPaC4sjYWy3GojW0B4sSBL8Va2ebtQaUvLGouL
kqMoKbTpH8yytex46B3ao7sEICcaNftpa07HtdgCCX9oE24FVTLIo7atuo87SSZvY+mRtrC2CedP
7PIbZyRidoB+ELxXa60iO7HohdmBrkVzrV2c/2hgLNYyRvFHL2PYJtxEGGLkW43lYA9qWW3Dqjq7
tFAdaOMGiE8J6VJ/5pwEPFnUdmkoERqS5hf2FYvuVZ0/RFxIXyPMlwcnMXKyZq1Vx5nn+vhTUj95
5slIQoHLZHOaQxZWdTJ/U/BLEW3l7BPFCn606VLROrtnfxnsGQAWlrOQnjDEvgixrtDaCUKstp9U
yB5fRDYo4K6OmUmwAFQN9k7CInd1yyA+NTyrHLaZAIP5wr7z9pTkQPkbTVI7LZanfrI/YBXVnIHu
2fQGck8sHlOnP9RJudc9w2SHp4lnYnTwab6JB3rO+JcazUNw0He6lxytrMdOC6R5LmjYZMZGYsPv
gTBbHZRnmWLR4aEA1gNdj8VsMh5GL5Un2xxYewvHO7lmALZK0QpLmFQixA/i4OjMpjFlWmLp1TZL
11zukzatbrIKw0i0Np2ivIvDomk/VTZWCjKDKXoID+gvjIOEGFzTAKbgG9cFKOzJajrxyGE6FCj1
AKTTQQoMi9Mfml5uOgTngDOk7IwIqW/JSmRqh6I+fMwBQjjMWIffu8iW4D0lUnkJ1s7YWtnV10hb
dRCHRevRF59pomxNcWtOBrw63ZvimttRdxpnEGhrM23ltO0NvqzmtSKOwWtNCpG2lIWW1V2PKs4V
OwIfiiu58X3gYX5zX5WKi7rJ4h1L/dqQC5vJA8a2igmT5ZS35VBZh8mC7nsojCx8qjzyQVtj7d3t
/LWC1/ujjpfMUngxSdfynFv7eu21uddNadG5SdOWqGZn0u87/FH1i0l6IRvlNBnrNSN5nHVontaG
IxbJa1cwvn/7VHChaZkIw/ToRqX7o6FuLuGmFDJ/eH+0EOPi1A7P4ra8I+qhXqK0w+KC3qWfCn+y
ocQZbq93Iff07mbWDIRN13Zsb2lGpkugk8w8FuEjjBvR3nVIIW8cVCUTd/Ts0bHs07bsr73LxQAa
emN7NtynmmUrusra0ixtQTu7oLoZSoi1b/mfg3okApa/xCg2Dhht+uKNu4QCaDJrn0OV3VqKBcja
EC1nXDzV2hqtssi589cmaTY6t2Jk+gnXlulo7Zte1uZp2wTiVy0GZhxqqeu1n7rLzS/yevDMm75C
fyjTo0m36aUOgmJv/9FxvbZds30R94R7xsO0dmHLZbJ349qPveAb3c9rZzYz+b+xdya9kTPnlv4r
De9pcAySi7vJUZmpITWrakOoSiXOYwTJCP76fmhf+NpudAMX6FWjN4Xvs0ufpExmDO855znY12uT
rKlTOrXrv9Vroxjmlxi/QMakbC3gXv5Wxj2YwPkVgsM6c8GsLgiwDwQ2CF0j1yNjw2qR4k/fmhVC
GNL0RP+4hWYFSkSBgaV0Sm6BeAWvZWbCg2ym8ZFBJU6RLGeEpoJ8OlNB/afz+tUy2fr+IRu6ZBe7
JrybOMIHPiekTbw2r5F+yk+tQnmzbIiM8OJGqFykHZ+AbZfeCz1ZA3c7U6oTBvfpt8Iwcy+Zppf7
rGXEpEmzPERo+FtDebBDKEuHPFk48lkt0l/RVMidRW74hoEfv9g6saxyQveFdt3XCEntEqwSXU0Q
f2s0D3CKBQK6jgQImeBgdGscCMFZVVl417kiOzOD+GZ3yu+bNoYPMPQpLQs8KfJE0aym/7wv0/3A
+NQQ4kodKqBNP3zlFn3ym7Qc8D+JBgydS+WM3Gd0wGtKPaf0TmcTnvC0fOd4Xe4reDx/VjfB0eSe
7jFbRYiE/RTBvyEL4SPHT9E9xsP6LeR92k7aGW5MlTRfXEb9q9R98stAUPOfJf2XeHcXJpK7VhGU
3eQDdLhdx+mAuhsnJQnBSOwuzRePojb7V5eBUw1quVAS40wXqk9JzjYflh6pn4b2S/tlKUsP1N8k
PIAI9SixqHRRRNdXn6uXuXQpsUwI/t8Ty541luHB3VTT3F9N1NDmsVCLOuYD3oTaula0YN5rayY+
SuVFHvkHW+Ibchrf2bl9avZpeoKkWYBs8YdL0bMzBVjcqM2gHy7M7uLJ/upD/duwvp9mCTQBUcmc
8iXO8E737o1lUQmT0x6/c90KOG+l98s4BMcI19I2Sd1kt6yzmRb60qUI0rfUi9N9r2YegGRmeca4
sZmVLzE/WEv2VOvOrNTQgwVwIuc0f1BmdG8z3DmUGnB9sK0w/6LgQwHbmNQddXG0gFjgblqNYxLH
r0s5KOzlLjTdjndo3nMWpMXKaShV0ctrUk28kJR3gczjha36JrlrIyj9RMNf5yCzXjCmDRRaQ5nm
qBFuCjGoI+EH58gKFAFL79I9MiYpdMD4O+LN4kbQabLJivgqiZztm9r1HzTvuz1XUm3dYaImlNYA
pimouwS0sKF43uDxgc99Ol1HLX/k0fqmEsoIMKsxIhR5F+8LR0miI02C4zG0q6dQLRh2uUp9Sx2I
k8WWc3KmeH4vADnsRle302EO7HYgazBSP0Su6tvOlvFGBCjMhapcaLqFnXBXjoKcgaWTXVMLN8G2
TIlvidTXR+0WHgHlob+dbFc/QEIsabHumjjn9XbFOWVgDtNxKupzShEt6AwnuNjR5LzAy0z+VDJZ
SNo1UX2MhjQvWZic5ISGEJxTXmrqV3QR71PPys98VHD22Sm0FAz19IDXtuu8gcqKN/ReoJHXRlO+
41bpF91DNk4cGEAtb0JTXyFIWi9uKIobLnNo/7pYjo1tpg8fYPNl7A3Z7oXjA/0DpDxcOcbNmZsu
Lb1B5i0vZWHMH4zyNR9TpmhP2NynpxjOP/iYXGQ7jrbjduZozzy2lG+Rae37JGsaegkd+2jcta91
MeE62BpE+pH7vb+rQbsB97b0yzTX/s3UgLOxYk9xmhQ0c8g2uiPGTEVTQ56aVBPg0LRfJ5cJ/TFO
wNQ2vR+iAodyRPXRvicaLHjOfHi3TKCIcSy2sxEMRWlDJJGmQ5x/RNc48MwJtZFhz80CQxmoa6LH
gocJo3x9n8Q4XWK6FTbu1HBgrI16EspaTmHHT9BEjfPqiYlBaDso7yVJZgSAhZJ558oWga8IJ8jE
FKJzxK6W5DFptAHTDLr+ILxmOcRY9u5HiI8EO+NPRA0HpcUBc0nDyNGdwM32sOe/OLRAuMd8nm9B
hjP+GDWD0RoK7KnrJ0n0xyVIEGMwWwLdHMuBbxJZJBSLMCoJa+DRFbDErq0e3PtZ2pP+bD1X949G
5331bAn4bjvVYZbkJsIFb8u0rSC10Qw6YbI52eyyo6JoRESTdQy6ltStP6cvunPy78Uq3SM4Lbo9
l9nHOM5Y7bEzrvNjbGMc+Hp2qRUmmkkcNwWSWuR585zWVgaeSBRnS/jeZ++7dLuHPRIAnc1CP9kc
UP8MXruc07n1Ilrddf9kGBXeiAVJgwObdFjVAtVTuKVLluxBeuO74O3+LJPQfw1gFQ4vUe0LdZ/Q
D+jtl2J2Se8hz+zTmlEXykNB3DlIzbiL6zSkAGt0TH7qHB5C6qQtSPxjIIe9qo1wNlXJpxfrN4pL
y354aR1wGYynVqWCISkEbstz73qrY6TJH1CT2lXh6Feto2LQfmycuHvrYnf8dLkSYavp+qch8B9z
i/YMXTE/XRUUZVL83jyHm2rVV4owm3+mpNtPxNnyt2LVYQAlBQRsY+P/oHtEn6dVsZlW7cZdVZwU
Thlu+VXb8RF5+lXt4USd3epVAepXLWhcVaFp1YdUa4mrn3XDgZDz0cG1+rDOSc9KuM5uXDWmxrf8
u/hvwlMQK1oUKEcxGx31JA/CyiR0aqNX+atyRdb855hmX9ZU68exs9dqqH6oWa1d9BYppvgb7Hq4
zcY6P/guDapIYtnbsApmc8Enp1pFtGKV0xAuvLuG9MY5Z+D8WK5kRB8HkNsRuILlWF2reuo5XeXd
HwZXBNLT2b1pKLJ7WaZYUX9mY3Ve1PxWOl5BxK/M7iUB+mu7DN7eDKRc97XTqVud+PNuYPJ3Emmd
PU4MAHYeSB889cXcXUfupL96tDNqqRp1MAsjPxm1w8OEFZW0Uv8+2hrhVkcuLTB57REDbuM1jGPc
Q7kKpBn5AwBPo73F18UZCHHpY6LrBAWPKQYtrvFHHvbJzwTl8ogoLE9sq9OTSVtaD1bptllF3EUm
6m5chV3FKQ/dYpV8aSi3zhTR01gieeQnyXofdu34M8+HZp9Q0fxpROQG+D24UjvNFGIu4rK2QUXx
/+SrMk3VBEFLRv37aIb9DAbEhjJVHkBiF3cN1Ow3oqvyHKyKt9XyXMlVBVerHh6txOh61chBqboY
U+l+saaR0OCqpWerqu7PmgIOECDuS8R58t6u2fM2pkm8LxxL3LBGSDZEaCRqy5IU6Q18Q49cbjVZ
kK9UOb6PPU6nXWv53Tte4T7m3qWd5zIw3Us4uPKzwD2mN2E5Ukas4775kBRHfM7KBvESp6wvF9kO
lKmw+r0tpG2YzTYVNatwQ6FRFGWUfKZq5n4VjLn3axKNeGvdesE3F7afenY6LOt2+N5CYdgCTW5v
U05q+YYEYsEPVNRUAEbVIZ9C/4leW2fviCG44ZWUD4Mjp7ulnNTnWI/TxSFHQN1dlOxlm1c3ZvSo
qcmg4UlcQRusyx0kBTs/pGVtPQVVGWyLmli3Q2EaS3y7bdq2+WqbXuBmhcsT3FhiAVXRxIgP45w6
bw23jQx7m86/J9sHlTXYZg/XRQsyEnOabdoGKGzJHXKXgsy6kWFuZRt++ZQzgZ9woXYz6dfANya6
/zC5/XDj3HkJi4YHKHcWfgYLgItBlsISm6bNm1/337IEkL3vSbzBcUnMd8sZlCoNi2WIKBVGOyAe
wWRZRwJdv8qUwZbTlpsxNJ+VDsxOsTVvZ6UotckKez2MvbHItGdw3c92MrvHdMytS1qQBqbiDTZ8
XAV0EILAHkErZWP0pHLpPyReUt/Ce1o5ZT4djwgBKNyqaS4zVI4TlTs8DhZDv/OCnEFKNvPWbao+
lC3ttjFOfbYqySeNzkQNlfMuh0K0Y+gxHJ04IdDE4/MLeataNiVUZ76+6i8is5HhuUHhb/TUE8mq
q6H3/cjePD+tYlqzUQ6U59EK5mNlkX0qGUo9BK79sM6Eftj0nUBi78g9oGY1xQMnOyBiNuvVXRZG
4A4wpOMbidesHqUtpIJCvfjM3xa183RWvdFLUQnCv4N45GhQ+VtwG8mDW+R0g8yhvFF+JrZF5dE7
Jm2cKYnhc1khRmExrpMDeW6KgnIKEi/+wCxx649u8t6nk3uQ4Kh+FMaz7woy4FQzZhYLuD8Fj14+
9nc9323b0jh0zRzbu7M7QuWbJG7DCz6L8MZr6VNwcyMvnbK7S+7n0ZNAMjk0yN/pzm34nBo5qQeG
a1JBrgJhiLZel/t+ssy8Wfyu2Ke++Y1vGz+0m+JESV37i2xeeZrIxj4LVib0yNElBd+RrgTyXR7I
76WHIbCXh1gyfcODTzbBKeroTpeqe1wsTUB37G3+L8trbsALLJ+a7shzF3TFK9I9q6BuZc+8UcAy
YXjlEL/v5AN3AvdNZMZvd7Y9ceaCqeZJNjOS55uUgiiuew4QJ9d6jdQkQQKQGqQKLeXd7HCiFLpa
A/8uNm8TWSdVie5stQQ8DeHtn3bOAcRKW8Io2FpYjOUN1/Vj6dT9w2QDWhvKiKniotlI+dcAJHpU
31Y6nA9exXa6a7KiM1sTJVR8ehmf8XZi3CAikxzHsidwUVa0z6wwlzchFuctmukpqUZTQEzwh4XI
j0BKDauGTAhEgO6llBzGD3kgNZgtnCzNwaqY5V1wB7qMZLvW5bll+DGiaqbWO9E9eY7srGD2zCG6
pPCzmJ4Wcin5pQ1F/pyFC8IwwCeGvUsggnlX9Pn4XRCmPy7jLH6W7iKeIh23zoEmcavfF4UQ1SGg
Y4VJCNlsyg0qYDH4BgAFyIhire0c5y55OtLc76OP+WuybLT9OJpt/6TlkIjzwqj/Jafi9KP3kvlo
FU3/oKm+RJwNevk4mXRh3EaX3rWbGcR5k18/sN38CJy82yWRLEH+xPFPq/WyQwfyeJPTwX6WkVu/
FYTJMG9FuieqkZE6bpyKQYqCiFwse2l3mh4OGUJPaeP2WalJ72gxWl4YXwaEZN3w6hnBiKGYo+6W
FDDoPhCC0RdTAwwEKd6GcrPiUTaW1pa/s8IZek3Q9Mt2QFj+yElyB1xGXHOnah+QcPaYd+FIZK0R
8UtJcB57M0niUgzUnVahhhnITnBDy11Xb3KsS7+ijNqWbUbxK97/tp4maL1W8Bh1nqc33WyqGB6I
oX8W/dkNdlMbNeXO81rqH4xxrxWhrEfPuMs7g/P50RIjpI3YqY45cISjkp336pWlfvA6RQ17hPfj
0NICRK1TUDzIETrXvp0j8VN1ZfYj16K6KMuB62i5Zc8I0sl8uAAa1cVxKv4EPkAXXs4pa6tCa/ow
iwJVJzhcH7JAg5rKcv2g44EWjNAv42Zb8kI8tgVhc0zsbvoF6C8ciWs6znOaMOjd5Nhjn4s8dPcU
unCBJkdB7riRwVbEGRcpXXvB/dA68qlPW/vJnb3mwVjQ53CI5P0PBOv8XhC35C7fR+LOlitOIm9W
g3queudVEEa+5H0sgLP2uY3OOzL/RAevw3NhrOR3XtbLZwfs09/PGQe2zWTjd9lN1LDvhPG4xi3D
VL3ztE34CSuAfJzgpH6Qtpf8ni21LnB8iAKHv4TP0wV4oJY7CpXCMxQmKlj6Wl5Y29mAZGx/SX8k
qBa37HxzZ1mvwsq7Rw149azTAko1manT4mXjtxz9/Ch4bIlDRnEfkh7W9MkWCWmvCoOfj6Fmq4Rq
bqhxCc8B6zZKdls9w2cIzpYLSG8pzfjVFJgQtoug/aKr7OamwP/PGS2t+0+ng+qyT8ewfeKKxPS7
a+RrOXnRY8Tp7PfSheHz4g78MbAOgYbpP1IFM27AcYLckYfwfxT1D/uR1/C5wTfwmx2ojqBqz/GL
tTheggMT8OK+ldl1rEP51LZlYJMRs3qoDaPv06en1LX2wurSOXyRk7SI6IsIr0I3TBNsU48/F8Zq
64Y8uXfRSMyeqCclzymhvaeSXBxFbXHhds9k4pdHXSKxZRxuUOlz8Yi41Zwq28mA6kI2cksNamvq
uWr4+KqHAX/eks3JQz0ZcebLUloneuuXdgiu8q8foN/gLOat/uTKHN2P4bJcja6/epB/dUk+osf7
t3Vhud8JZXCKzt6Mry4kM5XFzwY8155Ob8A/gtHliWBnUGy8WeM8cAkWEITiXCFCPjymUzu/4nO9
GShPO0xcX1FoRiYcVl4nJ8Wx/WeYteKa2DZBLt/Tw5PPgZ6bQBVYE0ATdrlJ6+6MUQpilwF88iMt
9XCLuvq7HUqXzIWSwUOWuuHdLFr/UTPO+NmEkR9sSuKeiusu8k028jTNAOdZVZNrmze4lWxmCiVs
1u+O8jr6pex+pMKwlXQHMnYf1uKk2dTbgCPCZQTS9e6lbFlZHXNkofF6iwN5xk2C2tJuRqd7Q09V
p5rXd5/1qr3R2RDt7NAGt2DsqD3aHkiNJktBpOZK1T+Fh70Y7XDcV8JE35Ns5GUGdsos2Il+2GFm
E04Zq8jalvaE5SoJOMiGBbqVt4zcYFwnmy/SlYxy6t7bRag5jHu74LMLIDRss0pZp8SSPJHMSHK8
z+Vyp3TAIheHfac3SmbPQYPmQ4h8fslD7X9Ri6x/gRBWL7h0YROJEij/fkwgYIq4iPCBeVr/7Ev0
S3yiXHoYkXI0WerV0DYVLMbTSMCEZ0gRt0tLld0BwrF/4TSN6v3cJYpJCqxhLmmxOCUtVCx+KcoS
2YOp6OyogTWBStm5mrSFSBh0UEZTFwgxzkvz3keli26TxQfX7djzm56MU0I+O9m2UISTnQrz5W7M
E1ZvNbvlOYyFpOkADAT+aBP+jnF1McuzUfwwvbXsVm7eJdD5Y+AkXZ2TwWfQVioec3axDSj9YtoI
CCD9baw134b6lPQmkZTKbIEROa/VNKCjuE15oZNcYzdMLOvEkL0OSe3K9X+Y+dBtAE+7r2i2HgBZ
BNFwW0Mv/uopYrzvUFAf2bw4u5AGHDH0sLWflF075S50F/3BvJliGfoQX9L1dlVHig7MNMb75qMP
7ufcLncah9FdFE/uV+m36yYGPs7COAqFxxmn5BDgIthS0F1fltp2IGn2+t7YKN6esw7Ja8w2yDTu
HkuPwyeLMguQ/I90C1xpx5u5XcuPkUP42SRNdYqsxtoT+sNCZvrpj9MFxR38hvyepiXWrwU0Zhja
za01de4Wt2xzS7kXoAdnlPYHnsmcGsusvCNq5O5bANTRFls4rikvUB8ZgfPHYZqa27bsQWxmjrX3
XfgXlRPa0KemcI9HfritxzZ7oJapGLZkyfPdWM3Lb5l62U1KUvU0LO18w3mdMTEJ4eDvIPj/27ml
//cCJUzlsNL87wMll8+h+VSf5b9GSv7+Vf8ZKYn+GgQszTTKxH+3//zDF+TjC/IDG465bUNP/6f6
bif6qw8yw2auwA/AuvJfuSbH+WuAg4eMFMZD/kFE/51Myb8nSgS4+NANSLaQkYpISv1rokTIgNEq
edU9DQw3hsYNkZTfTkTEWpU7K1GPFIp99z4oyn96la5/9//8Dygv676i5H/8BX/Ev/mCBAIVniiM
q8AT+V3+zRfExMVbxFLR5kkkkQro0N5wjOC8ybDHSTGCLMg6eUgoZ8NgZXnSssNdCIxmgZInu28/
iIkSczBiHtMgv3zg8mkv8MawQPc5tlvqpwPWaFua6Eo4QcvNyBDm4AUJ0Gcm4cdFTOHZSpU4MC+D
+tAYjAsVEfINx7iHOUXCEp73u7CB8EHvORRI3lt4B4CD+waDTU3HWWrvheXaMAZwUPt6KJ487YiJ
3tDJuwfrTPNi6pTootYAL0kXZGKj4iWNI75fYrQ84uauH03AttwVtxhA5V2JULvR8eIsW+q0uQvn
Zc4Xz4acKgTA6bcnLP9VhZLuEDk6KfPleLgNmpp6VZqzN67I2as6pPetq9ZTSlWkb/nsxE8imDRT
zKzbpeASOVGNj4ZJ/i5Bjv9Qdurh7B98i6EsJlF8lWSMZkuq70S7sYY8EFN+x+go/lLdzAptZgEt
dYjtV4yckn90ecZ2SedxRmt7cgMYeWEzIq8wIcUnPR8jO8oumI9I5oPNo1eVw5lnBeKeXmX/waZK
LNu7pQmuvVWGW7zH9m0uNbfUTjdXnc6sbkuasaMuPRFjjOk0FtO12Bxbf9S3UxGpA2SWZrsm1Q9F
rpZLo6futUfhGplrSNIjoRe0by6mip2L/gIPruT0fhyjKW6vqbse2zK/BE9RmVFxeWj6euvLLlab
iXTyDfmwvEM6tpe3unKh4uJTThWSKsAVbnmkvR/4e1jNiFQ5fwIrDGyO5VOzx/EcXzMxY3uyJysN
GNQKzEWY1E6jnKBNR9jxaHxiPlFyLHO9o0/RXEd8uwveAgOeBrnFiGSHsx5cqFYR2tEgwYq1BF1P
SS1D0F9t0N2NY6Z+9o3Lg1T29gfYKwrWVdj95pXJn2TZxA9hGTTlpjcVNNDcH7MP8sk5t/ExTw8u
iACc6ZzRr8wH+C6LmznQj8tYbU0V+j9h2tLMuRRrnMGfaMHIp4IbFmNrs4fM7h4Iw5tnt128p8aJ
uHzOjqsW+K69XTOLmfRvePQiJaczd49T4sQ/Gf9n70POq7f3o6GFV4uPn8RYKt6m9ZbCPdzRe+YM
+rNulXyluBPrkwvC6rPPC+4fHSVRWFgGbvoC0KNNOK13/lj0Nj9nqqvfoBMmj0J74UeDvwNCt0eP
8Y4bqP2SUhAMEsSZym4/NkAYWtH7e2lGqk1SihkoYipEiQXOGzHj4f9WmD+GimYFoUOE/YwB0D6z
3ejoZBNMKmL4DuVdoL1MSPHeMaNQ/glSUY8DL0WPXbjDM52mB49RC7S8eQOQxXownQEa45RR+cZd
NkaFtgGMbQUuv9+2PeAUENwFbvAb49oG1h0aVkI3PI3NOrMR40rM7YqouFp1lV1dFeIVGMgRQkBp
nPkxJ2fyxlsKwLQTNYSYqBP7xBfDcwpaeOd3/szQMKgfK2d1InZSiE0ndP/hSbyeLGa2+cEYSPxk
MecdBazJpFuGDsRqRmdWvO2nFKdVqjuGOFZU64VCi5mzu8Kbc7JgOI4puZkNP2FsbZ2pYVmYkiRo
mdMu0/2sxPxW2QMN1wukTurJpxhSEFlh90eu5MS5egwC+FqO1QAjAYZxVyD7Xa0g6l4jgmb1ViZT
GO0ToGIfMzyqrz5dYKbV2QqByOkwY+ziUga1hT/JWAIItUlPTgKYcBN6XnkP6cHOrq2dzoBvReyd
20mk2VEyh47Pxhq53ZnR4dM1tHUOMaYvrM85WcVcgAqD3Dduk2CLgvID8iiEVedRsrqbuyWlA8hb
4wE8OAMUFNAnq1/PqksA71BSYVQajucmkPwVJ8AHpwd4yQNWGb4kWs5xMXXbDpmDgNQw/AwRcsh9
DOEbOI76PEHbuixE23ELytWbzkx1YKQ+GpyEDoteGuXzPX1HEepcyUq9oNhwx+K2jR028EMUECGe
dYmnLceDDE8KoAA65BgO32acssdBeB32XBoq9pMdz/dRPTsQf8GfecDg35s2XRHgUZtvi5BtJxVV
Wm7wF15qF3OFFY7yAlMeJDo/+ScQ8/txzhL0CjsweOSE+ytNgureT0bJ9AH2ATZeLw8JFHQ4t26S
1NgzaUpUJXwZIbkYoUpz2wpTER4jXf1OuYLNGx1hoYU6oCNw9Q6/Gw5O87Fm8F5YfrsrMj3ZHFub
Hy37860gqAfKuXKrH/WoY8yI9IkKaq/FOrwtwhxddHQQx6RZ/ZTCsgfy3IG6+szK7hOduFc7lEDG
zWxtoyRfXgM+SL/hItC4rmCEHnRbHV2gRN02auGvbQZo3l8L4CQKUnsZBts4hleyvmnuI24NEiFk
GU6j7ZbVbT9N4Y9gzLLvpaQve+tkPYkKB3wkLxzXtAEqD71s/mnRPuzxNk2iDwMw95PdJX8UjpNp
lq2upuTGHQesua3qcPduelmGD0xN2zVJsfgajEUDt9XyBh9s0xjsNEEbPgRAHbS0is/ejZP7dmrf
4d5CxxkIN2SF0yLKksE6cDBgeoqJIZwuJvMFRBJMpAzkCR5t68QvDkzqoczXvBKII2bYj52Fcly7
0e/eVd6lyXCLYxvBkEZlO0P63rLE7eg7P3qR9K+l9vxf3H7jilIhHrN9TM4E+QHDScY8JVTfkbCA
9PZjOBGxz4PoyfYEDbdrApKmXkipcpfpseDT6Y2MV+bZWxOHU00E0cYYiuUUvHN7GSfff59VzxNF
SKrhIIRAvvXx4t0Mlc0wgTAX2yUbvPM9lMymWKcrPDZDA9jNGn39IHIurDsmXNM+w9HHoCAL6RQu
ERjOeU8wL8mHMdrkgY8xtKQSZtsFpfrp4TRZQ7+59TNFghNbT5oCjdRjFYgxhM0bB+jycxN1EM7T
CZMIG9Uyv86Y4tmMgfDLk0nAIqB2JkDMyoKG3zs0Ju/JRpONDtUsZgazS9UzswRUc8KEEH7RYgQ7
0YenF5PBHfou3nrKEYcAzvf7rN2VUL5wYhuSzNmUELQZpJoBa7eOpi0dX4i9yrF+GyftftjBtlGU
LM8+clbBYA39M6oxcFtmLVGik2UhNqgZaDyMBWI3w/hsV3sTHBnESjwozU0aM28GhBb5jwVzVPyh
TYRBaqj2YZz4bLlTcjVJAKsohAR1iIYaFct13nkSve85pw5+mHJc/szq4ms4DsNtkemZ3GFRhU8L
/pN2b6s4e7aMU9+548zrx4fiTfszy1XlYU48RrIw74kfyRc50N5LADhg6kXQSTqoTt34HXMa/O1n
8Ls2qLUZ5kEPP/qW3Fz07UU0FBDszrIXvzMtW6x0fdBX5HOAo1O9kro8hTAq5ybbOaOZv3MLwl23
9PXzvLCoYE5LOgSr2oTkS5uUiUyilHbxqns62plSmzOhcoBcBN0m7gHstHaZMcAIfJg8bGNNX93X
nOYRz3G126dgqAZ6vBGKupKwdEtQdb8wu2JqBdR5a/e0g81uNG/buPDoHOnH2SZ6JIDAV8nEfm9y
ENlhhvTRJhPGXUqHOAmyUTKpSxmi+7vW6Su4LCApIcF3PSckyze8tKHfvjqqrg+0Dpa0YpadfaEX
Cdu8kk0swfbJ6t2MEUnClWb1pwxTgJl9mHAqwnHMEdFB0VSbdHbbN3v0qpdZ2tGXC4P9hnp4TRN7
zmeUNAbXPNTf4rPA5W8fuMYGD7MpjbPxrKaKN1BvnUvMpLvZxGj6yI/kez38MZi6N+hd5MX9tu0f
AfoW0xaTM5TUgbqbnRgtrjnSH+wrUfneuZChVViuB99+CZsBO5VV/WkW5ELmaREiwuCEGE6n2sJu
EYjUOYthDu5bNXGEzBQR8HNeR/Y5GbgusywH5UkVwXCVsH/g1pU+pgM/4Jo36a445q5vn+gXZ8Rt
tcWXCCUjUS/MnQu35OAR4P3FiRZ7M/ftqXbd5V5nJcB9Ue8Ul699y9C6kT6qUQt5z3VSl0CueJB8
AB5yulKx5qoOa5xvc2/g+DG0k8w2JlQl3ZkLF4sFbD31T+MGLK99KCGJHpveaR5nX9XX2gw0czmc
Gte59JDwbYxf3baNk++xO4OkNprDBaH9By8O5AEO1w1RcGdbcL5MZTlfGzHYbzZ+VKKMdhGDLJbv
TKKxK+eueJpgwuzjrjCHoNEPYWbpeecGo6BhQccn6Jw+deyITxMrFGXXcdLnF8fBDtoOebTs7aFq
iMe18XmZYDszII2xv7N4/4lkeOwjW37TcVFe0wkvp5qa+EeL7/QcZi4IjF6kXxEb6DbkBYLc0PJX
iPgCfs0JO+75L5bWdRFeGML86qD+TZnsXupB2aTlE0DkM5HzF6/OoOwxPN5MCN03IXmR1y7sy5/J
aC+4HW1jfU9j2MifXsk1iANAjjmgSSJ7OQ4FFQyspNit1Vo5c8rHrvoipIF7hAqdfIPblw2s0A7i
l4NXaD5UE6fJsojiR4glUXFwon48jMGM+JjZHQHDEYwpZAy0bn9XrnsmUHzGwV5HnQ4IZ28ud5yR
5Ln727Kj+NF+KOGD69OMlO0dWikPBb7bJbgJaq4JlJh6tFC4rQSuiECKYu01DqojMPI/XZBjrvaR
Ws0uwhV4iqdYxzeUZMl0S/kBh2iivOJPlMJsy5nkXOQs53uDdwOmqp1xMB2dAkR17dOx56d9TkWD
396o0fOefGVP9T6NbJbEJIIDm0IqpzCuk9D18jo0wTEnpNxhzyCAs2Gga9+OQwdvVCHeb1QER+PQ
Wlr9JrgbqePfxln/fz76Yro///GXz68aN3sOoTn/rf4FniN4rliS/o8zUuwJnwrb0P8CgPqvL/5H
hJLAo88slCJOiDBEHv8zQhnZf3WDIEZBs8HEr4nJf0QoqQSHgbAyoOzYDkKxzmtlO6rsP/7ihH8N
cWeDgPIdvpQx6n9nVApY6t9HloQYIT/F0BPXVKZNavSfqzXtpJiInE36wC6XuQftyAFLUYGZ38Sr
vuJ1y3ocAc8dbeg6QloNQ4goQGgYOG2UUGTZY+HeNjONUe3YdpDKkrq/DcKweuaAYL0ETpKdUmzz
V1E32WWoQ3t14ITQszVe8dBjy+CamX2h7S70OpoqyuDoIALg76zelrShOyKp4L9ho/IJuzOY3hLI
Mow/2hq+7LLe+A3HlZuKKo4IE3Yd7MlmDJcsQuXXUUD62rQjPRWJXidbOFIt9hR37u/z1nAaHqvF
fk6CvPpAGEufqTxDXrfd4ldPI88dvjCKMA2Wql9pGwc//yd757UcuXJg2x8anEgkkDCv5avo2TTN
fkHQdMN7k0h8/SxwNAqN4sZc6X3eFHHUjiwCmdusDcofQsEwdu8a3vA2tFdQCjm4DWVOD+asnUt+
YiPUPXKGdw0jb/vK4qtTyZlq3NDs7ZLKX+p08kBaLCZRRZRkIUj0EaQAfVYcKpCjIUhzBkW8/EN7
4TKTCyvCL+Jt8TOgGId9n/UoiZhMFHwXkzunsYTZHTqg5gWyEk2pWF4yvgFbArLc4PDArua6ezFp
FUV4UnPKc5KNym2RVaSMlrmt9glDq87OEZ5/g1iUvZPTKH8Lwo3hsZsM9b22mvplI0LTXy8hwNpG
9RbNsRIjfhtOQzwj76wnHctBYmE6OL4ZAh1eoAk0b0kfUdQoiXWIDUE/ogOOD0C0s+rkZ1mULnwZ
IRMyU/w5tnGqiS02wgXUJgYOPEZ17GtANwDPn4RRCmZejF9NV2nkbzDRJ64csLAJDZJ5QZjZy2ZE
QKKBhApW8LF+HqjV3edp5l5H3tg/JVVSv8fCAQVJTqENr4aYj+LWD+YGNU+ZN+qJtb1TXNzBTlFe
/GWPAxYmF3xqrFlWdT9s3wnvwRBgWS6NZi8ir/t7Zji5qwdVQr03nIPuIfCq+aV3LQgFUSms32OT
KZivaHs/XT8vPxgfro/EWPjvdHf1U19VHEViGCgzNmaWGOq/nBs2EynWqyFjYELDoTxawwzwNNH6
Zd1qfVRDvZDuYNMXNkN78oPEAjbZIKORTeBg0caKBlbEZfwj5odr/aVQRjZuB/viJLhydHuXs8p5
Uql3X1jKwlR1i1m8xq0RPz0+cmYv2LVkkbbkGxiMNX9rx3DbDZyWXTfOdNrGRKAiufQJum3k/Y4K
ubzpeGYwHOm91M4nywr0G0SedR/Kn8sCY9Od32bSY7t2TOZtTLzgadZjcw0SgNkk5ULYQk2k0xcP
/GefikOLxfC6oEglVFvxqjn0Q0iaCYQy1AtChdBUs61MUx1ywzmAFHp0MiY58vde9nVbNNuJG+EG
Sb87jsD1UYP96CWUWcm9z/HDHWlrjxrySBzdwLBqKdGVTIkuFeaNu6Sk20s9l4yERRRHtjJp09/Z
2CTPCwH/K5HbVOfawaHPYLlS/7T4QbEPrXQ6LkxtCzwfIgawCossEzeohR/tpVTtfcMFxRyqMeNK
jNo372w0xg2qJw+WcfTG27bN0QAMGd/zUPb9z174a5i8+srLKRvRMnhOTyTgrpIwT+x9QKSU9mjY
PotBZjdLAGmHmOg8vbpR3F07UZK8AXbJsDRUuexHpkJ6PrDMyW0ZsBHpFrqx/9mTXD7F5fAp2tRF
+KnA/PEqUTmmSdF+uexS0FzqRmSTatD6hm1FCuwhfQm16+2MCT+rHwMMbJbbKGgwNOCfyOcmwaZn
lpdMqwj734YxIcDC3D7qpeEt407licx3e2Hfq7or+UpRz2nUQiIBpMRwlKgEyakuB8mt3OO0Ci+O
e1iG2cPUWkFIE3nN4cC/hALkDB/N9s+sTXARtCt3dt/3IwLIzMOJ0s6PyuLHrV/SdN4Vum3fSA4B
L2nCIHgYmk6+GL9GcPXaXF4LIvnPwOnbn36dBReg+LGzSfyBGnPQxM5dMwTVnSdD/7ll+ZgvNzQC
YKD9VDgHAxNgLaNNN1xNvGXrzm4MjAMOz26uffuPaIUdXPE3TBwMEYUbkAQmeBuoc5JLKfA++LlV
5SlypeLBoJX3xLOpu4Y2n90iMsoDA+4ASiPJGtFsUd7cFOxKJdtiKeyD1dbpdWYi/9VkqI9MuZZ3
OQQSnCwAc6Gu03uADlT4F9u+z3gikaBJ2pcxFvlzEzrNzjbjWyN852loJvc+L4zEP8ycU6tK8dSK
2vots5qJDhlL0NNO7ZxZ0PUBCKRu9FSK2L/36/SphnZ2jzwc7XJTIX1OCUPLVibtbezSSdhqUyEe
8L5bkv06Cgom7hulYPwMrEJUBDiSmCpO8075KUKRXGMBoOzWFiFZgWRNDQxrfgCC1fJZgBfeWd/x
gmpNGtRe0V+Xa/qg0V76Kx26N4iVy3Eewxm6DrEhdquYTBihv9aBzh8Dn80Cq1XLSdGIO7QWacRt
EEi27zS5BjMmDmjgvpfdjc/6y68imciV4xHPwR7CPjjfqiNpWsQND5feCdwzO2akchZdM5zXUfzM
BdWhNVbNxYlcL2wcayt6F6uMB9CWlsH0pHi1EOIocDJ7rXMS7XT297XQPRiYTN8EPQtye54ICbD+
KLmNxSR/CHds7u0RpR0/V/nk3ifvByIcI6g0ku0jWo48ZsEc3LI/Eg9XtHnpb4UiYT4l84v3xoTR
22io7Q2+Hf7p2sLxeStzlMApbJSztwnBIuaZzkL9jceqYKnFRVIkjksTGax+dOp67nzcOGvzymUL
VzM3zT14HiAWbu/TdHB623n3GLPydkMWJy+Yo0l3QF2ordtZdcmVG2fLrlc6io5OgjPKHCti0zmM
/J4rFCS0V9bv5DNO3/Tox217HPLSvqMuBAJ7UD0d/RGR+ITlFB89sN9vscnrB3wSiwU3WgMXgt5r
Rp8J3s1C34tZB8dcd17LyhUEwPGBAyzGJ1z85GfCpZXxBT1hisKadJ5ENrevjsya+7DP8j3++nIb
ILBhginXnXeK3jhnQgQYhIUSV8J1sd6GRJpba4qqS9hU4tgtoIUoAg3Wnp6x98nVfsAn7FzzDlKO
xHZfEtNxTTN9ZLLIaGw4kCd0noQEYxbNuPcArP37X9m6DCs0bju9hRNk6WxAJ1m0euWHcwWypVVz
H+jS3yRt+Qw4/bFIyhSecdxfh2VCQMsBj7jJXbp72O5hvLXW1F9FrdffRJEXvjY2A8SIPTrOsbEl
ACBfYsEBpyZWZdf1Y1jX6B2l19yswIfrPjbFT9CXyPEetcbPnOLDcclpPm9nz1e3M14HMx/FMP8K
UiPMpZ6dyZzyEOPyklSSwJUXx+Y0OEp9RkXcHaNKeLyuLM3hMm4oMW0ktbBbxuaXE/NAwW/LpvFP
+aYb91OGbohUK4Ju55V8r0F2Oak8yprdhSnsJVDuIvu5WMQwRFhGzmEyqCwySKYXG3L+o29kwabw
uNzDzRogeq8vXyaJSO6PS80ZIgYWkZj+Y0Y+vfHB9z3hiV7ZLSh0iIOT957UaTvvtRsk0ErpiLLI
5BlUlEUyzZP7eic0K0XgBkzL97lQmLaicnMGLcZsOc9Ti33atzVzNAVLDj9FbOO4ju0AGU3AloFi
IZpP12qHk0YsuqnHrkZc0O1rFy7JV9+q8ERc336Z7DX0Pps5Rr0Y++FgA11ICa8N8ZnGyWKdc0gS
J5TB+SrvHORGZfDbEy7J6KbdAAciccrmmHu4d6Qx++yaK0F68oh+nZpZtDmBOWoRtko4h5pVmkhG
5gqpyJULO7KRWkgI+Ex8AzJFIy2zVVucOcvRm7Lr+76waBsCf1ohjyND3KLPTqyXWtCy6Jw/xnwy
T9r2qo+gXspf6y174E9wyoL5Asf6IcZuhB1id68Q8AywDqfkqMoLf6ucCHvU7hX/ZcJfYJmnvuqF
aa7rMAbdBi10DR0WdYYLX3TJSTJieSfrkn9CTmaFNg47DA9jWP4hUOg5/LiUR92x5WB1KRUBU4w1
+0FKsaA7A1vjXime2Khh7k0S8QdSSvcEnR1iXdZOHEjqyekvPb6O3AG7R7WNe6854TqJ7aSq1OJq
SsWJl3Jaghcder41HONB9ZkruoTdZeCN9M6QEOHTKo0gMACAICRR2cifUOCGCGCgGubDoocMOn6P
VkdF0Z+4s6Fc0xJAn5IYVl0+LV+4qd5hmedyWI+RbD3BK+wCGuB5emb+s/89x3l9E3c5TxILisdD
S3rvuVTrnWIIVLHLKNlXWxHY3Z07Yg6V3hCdpJiq05T7PXxdk7SHuCrnF3qcUhzLzKvPTGxFv4Yu
SFty30txU4UuowBOR8fk1WdJkAOgr/GQ/k/M+ldAYLbnrhG8/yXs97t7L/4p6ff9S/4OjyY3jN5k
i4DYKO/6/5avfNhghOtIR9hKOu4/Esxt+ZfPd90He+4EvscEyN/lq+AvSTqQpJ8t+b243/9bBHPp
iX+Sr+Cqe8pGwEFjI7jmrYm8z/fHtIoJ6Nn/EY6ZpXOuXHuHYpMX1RiM3ExBgdKaHK+rjDAWe2fy
ymPV+QR7ajhDCswZWy3D5obliuHV1diitHSS7CekKK1Qbav6XEQ2YJEwyAO6DaSzDjFzJHciGdYr
sufp9LpTbf3pLmq86ivCapdReGRlxjodp0PM7FO6dRfUm/2ArM8kb9pkTEARRyB5DmyhapQqGX4J
eKgETsbTfCjAAG0MKXkKiUTFnmHhcKwA0jtfq0VEV0vfduMlSIT3ygFSvka8fp/6xNJ39TIwVDOt
eTWvEvFlsgOWvdM86YNNANnvIm0gR32lacGyhURjiJ0cd7pI7FCxZzKrsy6eSTg1ViQCDnke8mhu
zcIqXB7b5A21En6149QzR3eJTzkcwsPCcbmmOc/id6sLfedNVChIHbtDj6+KrrBt6hyhDHt9Zn8d
T4zV+axs/rS8fa7laKX9nlZbd11zI1GnOulh6ni863HCdWbwESV57yiXaXLAOiwGnngD9ooOLS4w
SB75Z25xXzwbeyzqnenB0sCSBBO6qhl3uRWFJ74z7hO++HQyUWSo+JvwXuqV45qi6Mz7vhf1s3Qc
TgdLVs7R0eNpd2HMlokrd+pmqN25/0DkzPtEo3fSPfdwVW7IV/ClCVg9JluSecV+VL18bcd0fMXl
cuGDQDoNYLiUYmR7zW+vsnKsfrgUXWFFBi19oGawLX125yExQIhjUgjfLoD6dgTG1RyARlqf1GoY
9N/ewbTaCNgkOAqMq3NjyEPWSLLVcghX8yEebe+3++1IRIvC7iNwhFMBKiQ8c6jLzK799jLG1dZw
V4Oj9Vevo/SEQ1FuCRnho++MHwKTA2/EfPsk5tszGb/9E5r+/lv77aqQSuA9xh063wHNwXdpvz0Y
0XTjH+/bmeG3qJAnvh0b6KKaF9Nq5ETfno5wquihXI0e+e35kB/jZ1B/e0EEdvGFYolF1PIq+hq/
fSMSWeyaRWrkNFdkBHw22k2CfMNPdPkjDFNC5ljpOfWFopTfNdQue2mW8LbgnbKH9K59AExe2FwJ
SQZm9D3G+XydnUQvshekYJbtK/QhnyrgdRz2BfkPXKx2luCc0lz7+gY9fLAf7C6tXzrt7Fifdk6w
8zTTM87QZBc3LEFWJNl+KHozHbOIAM4ZFYNpxTxTN2IM6G8hEAjNH+AkyLSUxJsPB4zytZxoNW+J
y5Yj7agoNy/KDcCwtcZMiGsOBe38MI0s1pFhmDIkoTLL04/IapNHPVbeR4500ey4ybEiTy+vWu7S
vLDN1uZHZjyEqvHEDguW4exNSH0+OHPHHhemyLBIbyzLyl4GM7A51jqDwm6bMb6zjUrk6J+Ap/GY
30R9EpCHzf36EFht+17PDbfGdV99bS4QwNmQ8HRIgYzu1leKf+3mP1QT0k9oxnafgxy67+U0HO0G
Avf/vdz/lZc7pRz5v05D3Lwn7917D3v8f7zh//br/mZQib8gLxDL5z0dCAHR8u9vePkX71Zy/LYK
/mkeQsq/BBYZ3jX3v5DAOr/ovw0q9RcngtXXcqSEnRW4/45BZQu1hub/EbYJydR1yRY5TkBE1/X5
F//jK15StZ8HaYHggmoxnTwQJzuaJii9SwLwIx8YfxpKP+R0Hk7LusS+BiTs76yE5VvpHiA71xZa
m/XP0rDIe8sP0vr/qHr56bSevYZjnDPFKZIa3Xdqo/hOcAC2LJoHxUn/1XJVGv8QxtX1A1gUOCzs
Wg3kHd2KJ1tXeZGkIKc7Kk8JyiHjBh7kPG8iL7QJS0ny5L/CT0DsCYEzMx3fc/uy/9hZ7dL8RjLc
tvkYnts12wJ32JIAf5ap3FEOcxVxT+QWGJSNvhbfgRm1ZmdggurLAPUp2HWqnqJbFG7iNlXAT+Qj
KbOfLHYbpB5LkNVpfUmaUEceWJY04Um0zJ2bXbuTY4PB+w4A0T+ks0V6AtIQQDiyP4FVeofuOz9k
ZMfWk2axgGquAzclJhf97LXAsS3hmPiw9MFUnKwg1vmlm5uRgU8uN/XG810gMKYPC6T4NRElBzvH
5EahIjBFdGpYQ1R6jVP5BagLuwuSh3kNYvUkslQ3cI3HKGQ2Ig/x9byQJidGowfswS3SV343ug5T
3N1Hygrqsyoa8mHLd1aM1I37mBsCkDfVd5oMzLEbbgjKkzLjaW/NB42NwdyrJ9Ry4w4+B6HYJ3a4
FXpxrVNH2eKVSSw9HscmjqYb4rEm3KrvbFygpbqv5tlm65lqFRsRiLc5IYmCMD9YH/tEPh6DoKfk
EJ4Fp6fmivgcbhKHvnHag2WsTiiFw7CzHSzHfbxI/vfwHfXrHSiEB/S3qTgLU/dmT2FR2vvEbzxJ
jqCZOfolVnHK1khhs4YLqX8R64y77qvuI3u+8KnDsBDfMcWp4wi1U3YNY5w5xnXkA5QSAv/SbYVF
fpCEM2V4uGXOR4MoPSOljnT9EhDjJHxDCgxbQ6v84mj0XyTYLr/GWCdKmyLskr99RlMHmTlErcV0
l51cAq2pfPR22bwGVWY/Eozqfy0QoK5ClZ+mWg6I9PzR8kfUTZz52Hsf5BNsfDKrtmC7bTuKxvxI
K4eLagJZe1I4TFsu3Il910HMIg9b51LvZcUSyAkRs7yBUMMwI6xd8twim0rWi5b2DvSaaHdd2ICq
w8lEwbSU4z61Jml4B8vSw61j8n7YowKqa3eoEpYTYpMCpTNWbF+NDs+ETR+X7k3X2CNh7aQ2YDez
Mv01hLWc976BBObZEMW2NkyrYFczpstEiYherKWIjgsjCNtyhs1SNBbL810CwiVy51d0RRhPfRZA
VYKB9GaYTQLPEvZwxllC3bpuWV9Vopie+tiDxFCYgmdBEc6X1HWde9LwZJPc0MlO41SX+yqFQb7J
0H/LE8Km+2yXeX/VGx3/UrlMwv0yDEX0AP0F08Z3SCGC5Gr1gSRp8jE3VstYAarPxCCgPfLxKNqn
lNPhmSzLuqdSVMBVEg/OqRv5XvHVqKS7OCiYDr46g5b0dqpPMDRTeMDwmOMjpL2AsCx5OHQNPWEw
xvo2aWsKrVClOavFdaF/NDpl9ZySMXmehKALoPiwbImcMfF5mSCqjsfZ0HDEoxFNtssd16MCEPFZ
3SrR9q8TUJU78jE1hVhip3Yc+dVzkNG13+mZH5QNWobYRVaN6+rzGgw+S8s4m4KH/lF1mo9n8rqk
lvgYxgLbTNYZydu8A3uf4Pr1JHJ5hK/bJfQI1htG2p4Qqol69wQqeOzjT184p4XVEzR/7jC2C/B5
ctvosVzlICTntc4gtT/tK2Wnel+smpIYAZBtRiGRmgJfudaVu8gMNTyqJxZYxJjfuKt6FcQ8crbZ
qmk1MhXeZlnVrijN4ydCc1Wxm+LZHjbMQoQ1ZNCWT2L4X9JZHOrnkEvcwvPKTqNNz1c+pQjheg/F
3FoSYYoFoi22B1Kd9y3byVXBS9t1KIVnA7l1Ilpeu024wrLb+K0HhnQF9hVPs3BrfwuGQypOfJhR
EceKjhv92iZFzAoJP0uLXdnDsAqRVZGlXx7wpVfO4vD5AfhD4m/T5TPH2sD59hUEoTkbgxrOWjqU
W7Biy5nAB3porwq00fRbJy09NDXWWtcvQgUnSui8zO5BBBsOCJ3jvDMiv8bmVz3WrMpsLRrt4unO
1L3dVcRlfJV4MWCz8nb26vTRWSVfvYq/ueFgfhCrJAxXKaAtQ6N/usnDxTxN30qy/laVIaC2zWn2
xuC3r11zAvxj30Ya5Oim/han6yXHNqh0vNTc8SlK2+mcRHeA4WZzclnkDaGIruq3paF/ElYP36BH
qoeMPdvWyUhv+EP5OJYhWcAMYvIuIo54dHjI7aJ4sk4ZReE16f2RNcW0herhgeXtc+cXGy5BQTp3
CV6HdHT+0GnAL3Ln+p1Sip2A45nys5jXIa31BSDSOPthWJzcFhryBONHJXiWmelaEAj+xW59IY+T
w22rjCE2FhSRNo0dr+OJkUlQ12ktbVyuo1u/VSTs/Wi5WC2EbIiTZB/dgk7IL4yT+Nqbcr316mQ5
zVyK8YJCEu9Jo2kfFvylj1kM6WN1zmBmJ7G+shIdu1vhaZaS/dT4e2ZX/duptTog5G785WovIVFi
niybF+tGZrGbbv2Jkfl0pm1eJp5YOHr4DVlWnkUkOJ1FTme3GryP1koacbSrQlqXKcvOtkvQDi0k
eGAOh7HGPLWfCs9pfikbFenWQbr9wyxfpTkb5LK884aEHk6SaYuAuVxymnIBG93C1rVNrDOfP2IZ
h1/ahU75UtPfWVEZdv3VKkd0DzqSvr+XGfLZxcUYHa7T0ObLGMfhaDbuFDVfTlyArQtdmUzniOQ+
zHCOc8Tq7ZrRFuIh049WBCQa09wicB32uK317JXLo9O1j1PfQMRTXTvB1Au1eeD6Rm3FWZIb8v7p
KVWmFzBwAa52Ca+soRhKci9uMtdbYp/8mHAQH+7TpUvOJSLHpcqs9BSF2rkTrgsCrByY/qOtAcq+
bop9SIaJdzlnkK+OdPezqvxkj8ogd35NVpcHb/BiWQDgiXmLYDgHVeFV7wZ6f3PkQRs+GTI5X+PU
Os0mdrvqbgx7nOeZLBWhE21fsF5wkyRb2duije1XSZ7uxeOsdtvDVwe8SWJgh6zngcYrcZ72MFWd
DYC5pt06eeN+8oIsdryyAujygeW8DlH/LrsWvD5kJ3BdsWR8jFh5+2qnak0fhQnOtYpQDbZWaqqX
Nh7jJ13nRGKBficICUL90C10soBPcit/wrQEb9wuhf4c3BJWgwUGyo7S/cyZ/J1ZYG+LGP4jyyVT
ujhq2KKzcsILOJ/QO4nFnpZr7OLcHMqCCAixNJZnd6G2/IwUCTXBk6TABjHAIRbKM8+H3SSI5MWH
tB2bA24qUzsj3uFTD7RQbVNs+B9pluN/S5dXeWLy5rEzffzIZ39hu5q2AVgkXvO7ahlHxrJSdxv2
DvJI0TsHaXEqgBX22/U8Ys3NGhHHGsjUuc/oybyW8EbpTUgWCmCTrfD8xRH2Dajs8d7V7IWUxJRA
T6T7lvGlC/5FvSdV1m+nfvqVjzqFiNRTBIJu4TNh6yRK3bZzODxqK1qOsZTpz4avLYz7GVKU41V5
fSLeZXm7vGRAdy+8BM0KVct6Q5EdrUu2wnM3WEL+s3YmtA6IObazLbuJrmER+PMm4kV7S8iAy1nt
9wy+9mE4/4CMCf6/Rg3kW6iWNydN9C/J38KDupSQ9An4ejc712n6o+t0QDNkTOsotXP3DlNMPHHA
5QmbLdAZDOycS+TU8+8yas3BM35xhsu7pCd6uO4Nl4YgurRZIz+yunF2hc11Zschg6BwsoRox0sO
lWMGEdlQBGWuk+9itC+LlgBwyHdsoNfrkCXkh9kGuwM18IMfX++6zwtMExhrvN3RdQFbJEnR7KaE
XQMB2R4WkSrvpOAwtI8Am9kXkm2Rd+BGLKCIplbGrYrrjbflkku+y83lLwWQGH9mGLm/EtsmmwfC
BKIkPrBnnruoZ6HWGpwwO6R9RXKz7dR5Skb7Dfz6yntQ3SlveMxjddLsUiT0j9hI9R60CjhIFYAb
J9rAmgOsDJDipfT6XziZ0V3sT+ro2V3yQvy9CHaxaZL8ELF/9bB0A+5hW+M97vow8kj2Q7La08xE
oYZuSFZ/kjHnGgXt8S5oAuDZ8ZCGX2noBD+cPn5OwpCBX5V5tIsg9PHRXfwDRQRxZIc+uDDeq6lR
tNW5mdPm3p9asWs6z+v2vJuLYm/SsX/sImJuZLl8s0urtP/MWHwcDqEMh+7kD0RVubIPX82wTHc0
52v6V1Kgq6l6tYUlsKp3d9Bix3S4/YeixPJI+R+qRpF617SWPfpCsbspk0jf1NNyFfuhGjaFqkkC
tOV0yl3vsx858OTMc9HFqWidJ9ySZCuOfVZw4p0855X0zBcfN6pyJcH40Uu/ionVoT6Chl2kAV/v
jBPybHu3bmk1l1L1/IWmmnwAr+EDsZj4F2eKErB6arwfbv7OXpva08NXHPQrZ5caBSPXrRXGsQBt
1AwEGQIaQzw4d3XdO0c7rfyvkUrxKRKdeybie1qqgMKaR2ho18yE87Kyc350tm2u6O+Ij7BzqysS
7vqdhDuJ+yincBMORsynIq/BvvKQ1J8LAjzAmNxuaceqAMBTy6GrlfzbceSt9l1hUpv94rXqGnpm
d6pnzvS55/gkNht9amgK8jFp8nsdOObWU67qNkoX5loDNwAcqoflt8l6hOScE+RWuWXwZJTnXRvJ
aorXVy534oJKQ5MLoGlu9ruw5u7YobuuL5OfbQi+YLPUarzpiZEciN3W2bbB1oiOJabzifL3sS0A
cVdDMm9sZ50KzYE2P3Pcbal6m74hsbzeOWbGdNte5X8CJwnpP9XLozbZ8mYXsfdY1UAiNoDk+i2r
nQYLWIz2NlU8LlFujqouzlrGzTEBU30HO5o9OZo91laquuKww2TGwRnxvmN/UNdTwf109N32p+7E
lW8bcjxC+eqRCbnh1Jbd/ABJFuFIJGUANS3/SRxI/IxECfx97LpbShf2Hv1cHhpF6ano9a6Bfc+k
I9yDpFXeXvlpemmYs2gdM56YN7ilZqS3buu7V0ZJm4NUuFCMcVp6x4PijjxhsfUxkye8jJm+IJBI
w7685kGV7fmRCV4rC8gwrIa23ZJSYZjCjp9o84fTMYVd/eR5c3/QBAv5fISjugtiP6AOm3nmRhcW
SemREdLaqYqDGdjkWJa4kVeznTXDHjWNEmLSv1lZIJ6U1w4Wd5Wlf4YazGkvzp3Xds7EERglpna9
iFPj8f0noDyQ4gFNcSF9wDFEJ3o3KaU45yy5/zFXxTu1W7ZNa8he3rCUvyfjR0eeD/Ujlp7mOBRZ
t4UDLNWN9CtZX4wzFk5BWzBCf2RiEfhuMbPoWfi3DeRx+LdcBwZinVxvNpFWKfnTrjr7omN4YXDu
oQfpLYsX5Dv9yNx7rllTAAO+AKGLzSqcZNRFjwnrsWdvXtCmTL14L54s1Zv6jqIB1phIz1z57dAc
DfcNWlEcbCkMK/OxsC32TPtf/GEfB/DqEqr7cUmPmaeW4baxTK5vkglvkt8rIaVZfLbKlv3ecvr5
xNHb/Elg3d3nvZInGsLtvhPlYB4EITd3NABbgsGONsb0CSepRcWS47BP7z3PUppHAZeWB+GUtBIV
NmlS/F9m4Pe/YivYf+uw/P8HxN7zdQX9/1We4df+zV6w/xKuDAIqNZ6Hfq+Q7/8+IaZ8dBth276N
xPH39otjM0vtS8n0uWM70O35zf5mLsjgL/4DbkTgOxj+66/6N8aniS/8k7eAq8Afr3waDZRqaOn8
T28hiUzTKccDIZypsjhCytXLVqjaIubuq/feRPLBNgRwW573kNAW+hICRZmwrUuQSitfX3NsTrf5
hCnNdBNiSfPMYPCugty99aGS7BKvLc408DiupeNwhl3G2Gk2xPDpYPyvMligAOmZkusJ1DXxSC7f
OVQ00e8k507GM3gIZ9XI3wLFAdSph6Mpcn2yqqb7HVPM2OLcjREq1TpISJrjVgxjeh0DKNobQL+Q
Qcf2UEoHDsRQpvsexf0qc+xwG1K8ByySWcckc8KvbN312ygC/we7j9wj7xjxg+HA9I7bXXvkO+NT
dJ5z5pcHzU3fTmmIg9E9yMWvmK0u4NOC1CNwEtj8RaENZccyaEnuxhOPgm3i0mKzsQYfwEPGO69t
6vspcJsPwSn31s2Zq17o3YXiZqlTXlhucVq4+k2Tf7Uo85BYI3gZd1wF5xvSid1udv3hsPY5F3Rv
Kqa0AOjDeQUSiFU2N00w62EH7th7GmhZzYjME4dH200fUPmuOt6Imwb6P/KKQo4O6gBSaGlC4k2A
sYGdjrJ+JwdqbkzXRb/CbFbnbAma+6W3CX4t0vKeOAK0ly4zPXqQJRjAgfq85dGLmBKAn9zAD8rP
Xjn7p6lv/RMC7/Q8OcpjojFWORrYAgvYsexrnDnrXMvW+uydIaK0o2it80kD8VRp/1UXnrxC8OL6
HSegjiGRGnAnZfqVepoVFD6VJworPtYD59+jwGP6NcHwuvPrgCK0LbKPrqnf2Lzy38Jw8Xl5Vflj
Sd7znvgxQPMU26SBtH1dpa1/nRUjpw8b0afr5+uonmOmSubq0LWOdQoR3Y4MV8gHQn3EhiEd1Q3i
Gp9oBRZ4Y0fjLapqflPMLu0qRhFmxMLSvjZLV/OwtjP/ZfBJ6W77UCdn9srMjzmN53NJWfWe4Ofo
7mkLT++OCvQlyj0X9aLPjlO+DL90uY5Dkfc/hb5wnmhSw22hAqLvHCvrfhVYIR0vCNIyKFmWam9D
RrK4/+nS6nauTVoOQL61zx0NMDkCrctFJp+P1WLxx1TK0/fke8oXeCaEchjCZO2CRZlk38eSa3s1
OfUVUWGUhX4qL37GFc1KRXDH48ImLphKdtASws4B1Jd7TpPD9cTh5Z50IHUe6SvzI2RO7+LmAzaW
29rcT0MZ34nB8P6SdiYPU9f2+3TmHb5xbN+6KqO8JRm/qkv8oSDA5eJUN3TY8/u+0+P+P6k7kya7
kStL/5Wy3kMGOCaHWVct3jzFPDDIDSxIRmKeHIMD+PX94SmlJqmsVGkj697IjGIyXjwM7n7vPec7
HWdyNAewhZnFjgff1z5CaEPXD7IGHgrFDDdNgQdjqDsE+q0v7Z2kB6SAe+bJRaSh2BGP5V3odo1n
k2nf3rRFd+Foz+6NM+uLW6OmR+NJU4Je10sdOoATXQTDz5YqxFfwFQT76AYBw9QoYJSYVxIHR1oC
emePz5t3a9JFdhtGuX6QgI+Ag7m644VT3bomtws3gLe1/O5gNCZlVDXEF4JVzEOQucOpY8e/t7yg
uE84k742BJG8mpgiPrSNeJ85ZiUO4SyNJ3/qxd3QCveVDC4Dclit03OnUewmnZ+eXTPgkS5t+7cy
I+CrsnT96lamtTEIGnxNSHPioch6yi0/n7egn7xd6gTWXoDVIM8p1uthjjhuOwpRvQGN/MnxAaTH
seR4aEs9HYmssy9RQRE9FR7hTEEn6VuqeRNZqXVMVR+8ofr3d00r+scmUOE9fwyPdaf9N2Bmxb4A
HLDrRNncUhD3t4OXl19xiww7vP3FF5KAgi8BUY33vTckezEaDMJnzIZZ6nXbYlA25gTDF0fUnbDA
m6IgpIwIVvraeX/CtgG3qpfq6MxWcV83tPvQkHwTapS49vBLx8T5+uxqRVh9qe25GddT7z+iQCIR
epyOMvajZxBAwweNA73xlD3uO6XLHIiFaKytN4FiWJkcVeOVcrTeMWUBbNwpu77UvtHBQTJRnvbk
zIAf4I0EQ3xwU6IllirVsd/UpE4uNr4bixFIEckSSF50g5VFHViqt7DSy3WRFs0hqAtcE8qi4Bzz
st4yoU6IzzBdOz9lNhxbrDNdgfKshw8r4n7cZV2aH+Meovg6Ykq1VSMj+Rj2EBZcVuaejI411vER
e5/p6ifVzrAy6AZvRaPJkgyK4dE2lFtsexygBxIIp22BXJK2yBggAXv0Z07hOSFi95g36q91b2d0
TEX9FQNpcRprLk/JM/8MDALyMR3qG5z29mbCWbSx2nI6W1rsO3ueDx7xWfuSNJw3FO3fUfryY8P3
eITUr4scs3hpHOiDYKsA7+tW4RGXfLUeHQPkuZv1JyetzCdnGpD+LbFsyPXKqUN75fbAU2OTSUg5
WrsCkildc9P4bQyVd7IExlDej+biy5ryDOY/20xffS86mg5S1P6pE/X8rmK6/GZc3oeZtdDWEUxF
QxE+cQMKrqmQBVonJd+lmMDMt018S8JMytxgotHUjta+NufqPqeDdWmTpHjTgzlshziqTabQw1Dv
tEgZG3kdNp/AM4PfCgNJETDWAMtD5jQ4bNWSgyZ1sgXo6Dl7r0ziY+mUBv6PLEoozp3hwFCeJBWY
uV6+N4KyeuR8kZQ3eWQYMb3JPEbvyc+Nj+QDzXIjEOTpu2Ac1UnTIHoICVj9KFhxJkYnS5j52GBX
s73kxUa7vk057q5lZlnPrT/ku5EBNJGtmW8fipDBrp0Kf2VUibm1l6K1kSJBeJqIpSVeP+LguTNo
PZU1HepRtUdVjdWmHwmHQgCIkJ6jBaL/LFqrVo/fdTKOv+lafEczDigrH969eiCgwHWi6o6ID48U
gL47zFTXhH/Y+uLbdLia2hzOsyMQc4QIBf2F7qJztqfW7O0T5eWzmHWBElxnW4SYwAfIr2bUScZI
XrfRxs3dche3VH1pWeo7ajBjH1baeMJe0+21a9EqFKWHU2gKv2P/tHe8o9G+jGeb29AXz4lbeTeJ
LaN7s4jHfTsP3c5IC2vtxbn3FKGuudglW+c6FXO6cZ2OsbYYgggsmT/QzcaYoEa/+WphTN9Kow7v
C2hDFNSVv1YsUfBoUvcWrS0N/Ty0t1EDBTEkXDdZa0kjGFT6CN+CSnrrZliE1iLR/hbgebxLOz8k
KSPTBqnelXP2pRpIYx2dQzF61lMIVWQLoNe96dHhHdzJyfZQHq1XmmLVqhZo/jJv0MckD6t7n8aR
RX9tFvg5TSN5cxP0B42m127adrdhkBbdObTCmPDOzisbHSp9T0mqg8QTW0fL7JRYhTz4YdeztNTl
b1CZ5I3HwPNlyMpijzPZ3DamLw5z5rjHoJmcnZ+G5rFEX8LoOQzYaohfQ/yLcRvH3Hhpze7BNdsd
51TzkpE4v5W5+mSE1aZBMnk7TMbnciA7EtSZ+0L7YyHnoVtKKoqW2vPp9gtzJO0CJrMKAaSvRoeZ
db84NBH+G9WKBwPRb9Hl+tHMcCGaiKA3U9SFfAMsnDSHw9MPivQ/AKsKB97BTxqwX+u0XzRghpQE
c5lJfMAbjK/WdgG5DgFYeuzEO+GmFahpbbwgVBmfpWUFb5Mc6jsRz9FZTqL5HCaaqT75BIvmSKBM
6Kf6ebSDeWe6BqRuP8NbqgLjvoQETRKsTCCSO9wBcx04HCWMkJGE4xFOwaGmHNah6Mp9PfgOXa/s
LGVifIu8KtrYxljdIRtrD4yjXvumZdzT1S5998B6E33vnzvLhUtNcvvGX6zQZcbow8mzbJe7tgLb
3sj5qGLf/8JJPdq7YkhJJ9Hv1UBnpeufHE4ooO6IWSCue9q4czwRR1VeEATMlwTbBSdwibPFtBQW
rowwDm+Xj4oMCzNS7ndUN9hWDGcxU08Fh8It7L3qE1LrXGzqBLTlSsXecAl9fzrGuP1tOkzCe6Cp
O9y1ZCIZu5Hl4AbkjPhwezP5XofMIWvHgL6Ete2RyfcUrAyU7HPo2ea2mgbv7HS9cXBFFm7adEbZ
I2SfzFvy/saPoR3f2nhuMD67xH2pgkCPscl3Q0Tt5GE0pNc+Jze0tiQ6JNA0EGddrK19NbRbyGHJ
3YxqZ1fiFzuF1K/3iQnTbWWPQ/LIix4cx2DUR1E5BBdgbmQQP0HMiTuOgoXW43NcQG1d95wX6Cc1
ZU++sWUgT1/O2cP1yJ1fj98QjY0zuzCHcvrI7ZYLKXYmtXy+os0X39nLSR7kOGuTXM731vWkDw4I
x9Zy/teG7C7BUhNkS3WQL3VCD+7SWanIkHdtCoGwBhj3XCwFhrrWGh4nMxajpQSxr9VIvxQm+G/0
Pfm7VCvhUrhoFbNZe1qsZTwFzdbuG2MbxYSFBNeSR17LH8tXZX3oGn8kXdyDHY60bTsRocMNz3hw
A7THgKws/x1XosD4gH1IlEN3v/B/95OcwD7Ipd5CT/JUK8cjJ7R+NESSHACcVRfbqKtHKHQQihih
4R2k6biCKzmfCHRoCIWhSHNU2HnQ/vp6HUuOYSvJfYAuajLSbVzwscRm35PN4r823ANybJaSMVuK
R/j11JFQAzI8Gx2dAopMpyRKRl8rT+9ahQZLQVpbdrZvliK1X8pVNPHRpaGCrZdSNlmK2mIpb/kl
l0KXklctxW++lMHQSZBNLqWxa0Tyc+k0n0eMnV+9pYDul1Katn75pVzKa3mttOel6EYQpbbo/JLv
CA2pyfOlPC+WQn1YSvZuKd4ReHJiu1b0ainuy6XMn5eCP2WRLsKOvyXukuD4a2cgW5oEBNL6AIpo
HIiuDzZ/vqI6v4pqLUfA6bYY3yKp9bxfGdkMP22KhMbYT510TiWOr06A0nIBtW6F4JwOLca9N50F
UmARooOGqHf34Fmtz62M43KtKj/6Pg29PhW5M50NabX3km7eGweD6tUmsQaoWbvtzWCuOTzpR1Wg
SFkxb8q4p6k9rCZ/yg5mR9EJGw45xMaLDP/UyqhEXTDxW6GuGjhZhXP5ruaecK6i82KAb8tCRnYE
a1p6Xd/m61rnXNe9eFkCg2Ux/PMLZmFZ+oMdiMO0WNpcCLJ+7hQGzCImZ5zkHqbI0/xmvzXvxlvz
qG/bByLbyjsjv/3zT3R+xZiz51mmE/iW46ClNv1fPnFJBsVQl4T7wZPh17xqk26NZHe6Rb83izUn
6fqspqbz1laUxV8tWu7bmrnZb7Plon+YJgSkZcrIiLYDJ+rtzGwaqnMFins/u6Hxqe1q79nzEXdi
G6o0EVDOkgTaZZM6jE3VXGysUie4p+ORkwzrE+0UNDXysR9nuQcGFtFsKNJd7ljNbmp1c8YJMn8B
HEPaqg7z49C4ct9NufFSJFpdwKdkDzhjo7PIe2s+4/Orn2Iydd4JlEoz6Auw0dIxUa9OZC/rVyHy
T9eL+m9jWi0f9I1hq0pAcrf/9b9//+ANuPyf/kB6eMKgov9Q0+MHSUXd37rUy3/5P/3L//ifdetN
iwfS5un5701+Nx9RjMtv+skFAHPq93/41059gGvPxaOxaP7F0l3/u9VPBn+B00v73vq9787flPRm
wFEJ7y/0zgFHBUzPbB8Pwf/t1bt4BEwXtBRpXQFyJv9f6dUjgvn5DcRoaDrSpgr1pMMPW6YCP/oA
+jDGdApm+6CYFUcQ6pbiWNro2JcViqDYLM9PnTfCU6Slz1HJmmS09TQKul0UhPZLk6bFEQGYl3HQ
zYaRvgP512s6UWOzJ2rWfgla3+asoU2gI4bb3dtu6RHWwikTnrbjpNipqorZrTnJpr6YRjUeYVyX
a9eNYvKqwy56bsk4NWH14Ffre4uca6vnvej9/q12RhzQgO22UJ8IJi6Bu86khA+2eTtNhMSxB2NL
yNpBfUN6W2vkTy2NRr5sdDHTFl674sRzcWkdwGF2qGJ58iSzxbw4AAkll0wktMJcOW4id7YPUzKh
G3Loy5UG5u91kU/eg47t4BmeoNwD7NK0yPNgnUJ5RSrGcc1WBXEBBDnTNvHWYnBE/cqpWfePtIBr
rJBt9WhBAVwG4MlUbCsIAOZFiDCJThorxAMuZ28im6xy2Hfx6+l9KAdOkcxDYSgHJJZEcGFCKPAw
okCKMY6nvRVZE47fnCXFemD1CqY7FYFNerAc02DBN5sQPUm69MriWlozTGHm6qdw0Jg+KoxWw7bv
GTnubEQvbwNIEzLKOCvC15pxta7yWID2Ez0q9hWN5AEbmtcOe78zSU2u6gj6Rl0E+1L11qsb0gPY
RGYUwQVsf0MkRGiQbu4F8oVLpcjJBVNlHAzAsW8+J7RVbIb3ekQiybgfSWU3FsGNrfSmmLDuWUlm
7jyTnb3Kw3RcNa6p961Ttt/tYvAPlTDiZJ8Mc2Jt8gqVOkoA+exS4cF69SFCc1rp5FNuGQgUQDID
jUnchWmXU4pPzaa3EQ6SpB7vSY2sTpg0i43REv1uJvLEfJsjHpELzyHC8N3QVO5p4TjRFzNIYLPM
O+Sta5BV7SIBxTFree0dgveQXgvEo1Vn9w6ibzXBdaugb6yagv+fOGydQ3dD5c7PUpuJBvFFNYTt
Uac4yTNPa3+uTNtK16aoyGmcgiQ9ThGRBNC7+g1nRI8uQ4QHYdDZXSDD4XPHvQ0h/eOYQ7s6TrTV
9EgLaDY0WVgqLiGM+a/E+BYPzVTtK70kFgdLXkE6JN9dwTRfSb9+Kvqo3fu0+bju6bT30qj57Acd
ABZj7m/qbvoAAgeDA41+sSVAqjtkRpruyDczsrfa0N6TriZSA60487/UU2fhUEVQeNT5QN1DU2mT
iNreEo7Rb90BNyPU2WY/B75eq9HN1wWHT6qtRSWuovxAliHSN/ZnVxfjjeeaPZKJFvl8G+X3KI2b
U1un5QkjQnAX2U3INjiE3frfu+P9uOH91/6jun0vPtrrvvf3ffCvO9/f//j/xraIzTzgDPff74l3
35M2/mlD/P2f/D639hlCmwhaMZ1Jm1E0x6+/zq0l42mAjo67nM7kX/fJv+2Gghybq/fNR4NqXofd
f7PF+eyhJNvwb6zAsW03+Fd2Q38x2P10HoUjzhDV9kxb2hjxfo2aSQavkU5FiFSdVxhFq8LNCeUa
GUHGvqJq9Ntg19dWuEVlGBdbQRf5AkIj34W0M89gta0tSSwFcSA4B2qwLlG/EqLzIWOF2ld7Ubrq
ZrSS2GeB4fQYdZ20sGADoQA93LzNCQAI5qP5kTgstB0UZ4e+GCDqt318aJqovEsc3+lWTdQNwca1
iRZcF1ghsPpMDtWRcBRKFSFz55yMSYh6s3babdjbxo2m0GsgVnAKWxXBaHyELdsbQz4r+JoEICpM
U8ubitnBqephFhHEMlcXya7/iXEghhzcxEu9yEm3WqlEDQSj2JR+YObS17TLP+vZTG4SlTyHYLLA
FxUDBEdPvRN8AXRIYKoNVedBf3fyGzNJxX4cDNYCfwkUmUo4S5OBvwcqdWeofBdV5bwNuHRbC+3V
2mhI1TTLmJIHKRM2bXkjkaGdUY4yfWiz7+iyFlUe1oNQuumxtBDVuP4wfRmBQBJXPyNdn02Iz+uE
Y0qOY9y2TyQHEiWBYnOm3IA2twyzXXk2OtI6KRsNDDp5biEMrUedIm0kHPjFimbz3qMUfwzQOQco
rxPqUJNl8S6zR/jREmjxe0V6fHPUZLyc4e3QyjQrxoaVLBbxYsPuvSpAiNRnXVu5zYivxrps+A59
uLmOgvt2IGJm7XUc2Ej9dMoTGT7pOqzxYeNwlk2CM71Ikp3ntPaGjnN6i71a3CZY0r+QBC52YQtk
C415dZ3P50RpBvKl7lp363ZyvFDrD7Sg/ZxbiecaiTxATyYaWg1PEkgZtLzEFp96VzPEhlGk17VW
1kPgBh4oNlByG1eF1aF3/fxQBI6u17ofpk+dKaKvOOLThxYh79Y24ohE2WSaoovmKw07zEAV9XCu
KNc9L3mM8ZcfEFqAk8qicVfA+8rXYTZUh6b2qxtyFzp8iE9CJT0L/rDzjfi10gzRqmwabvuOa2y1
fvqZvnZ/71ZqQMpAm0wieIfCfwv9hqRCKitwA7l9kzYGl8xQ4GWI+CU+xrWLfe7iKNz1pMzS9VEJ
eyssLVgCSigEXhANYPejm944EBI+OER87uwcdHzDuJjp7HiMGIimiJX95tADFYC8MFancm5lu0Ir
Et6lbWsoRtxheWYMh3VHaCuh424m/kOZ5C1gJBV36xHV9k0bwK8cBSk7G0vVzIt8WXlnIuD7ESGG
aPsjWCYPqTZU1+kL1trEfmol2ZatW1bfc4hzzAatxvPqi+TZDzjEA1CwPhFbPo7HOPVdsNDRwIwe
elVmfrO9MAwu5JejH3UnBPGdX2XM3npfFqfE4MevTWuYXuAoAO3su+KTJUanOC0QJgSBtBzWM9Z2
BMs9yzTmCtvMtkTK5J+YFeh9HyjavCz2NG0DfbGYIt6SR1u+5Mp1CZkUHiJeEgHN776f+vsW2fiN
EhWmfCKIdkO3II1wlNp3lTVOX6GpWZ9zNeZrX3UuxbQcWGHraCfTrn7WieCgk5t0i6CvOk31PRq6
6mF2vPAjNVoQWH4/f1coUtFCmvxgjARWtM1t8i32Y2S77XOC7UWClqBbsu7iSo6PE+2iAfVhO3o7
3ACzc4yQ+Gw6Ii70NiEx1TuEYqQFW/TMEW9KZO3iWACAKLYu05F+BbZyfk4Zehbo8Z0Ok5/jgdgk
R1l5e4FjeVjLNshuRtRRbC+RvauJB4KbRtMPjENY7aegQjwVVNzKPLrL2yK/KAmIwnA4Oy1NZxJ0
2HhWqDzqU+8h0Vj1sEv3EwiiGzxV+sVNmujSEbMbE+8t6i894hMIsYQ+QRnRY42Br2/sM3M8UhMa
v4AGXuS1nx6yqNRAgiFofjOdJp1WA23or3FjoGeqgeAueUpMp1ZTY5bB3vNnW3C0m6ZpTcgGytYM
SeVj6/skgBV56sdnmtdxAjefiEZ2sKpM0NGY6qyLWFdogGoOhbVw9E3ugB2kacdb0BrFGWNoctBh
IOmBp+O4TiuWSRrE3aM/9t2uzZX53nTzozOgwgBuEvZPTP2cEhzo4lckT8cfAHMNqFQwFnnviqyY
fJPVo/dJ9W4frB2vBsmfIS/HY9N4s4etb0mcJ1qpW5uTnj4iaK8vrtXpJ5rcqO2rYeqe6C8F54Z3
eDUawnm02sb5RKFQnFmwnROBeQQvpCraaD3dzEHujGsSqxHDuxmc3/kkOl7YVWvleHHzCldxbzs4
6cTceu5tEhctzFBuJZZRWvTTDlmKUe6d3EFqQcnU72ryk6YHOzLjFze2h+Wnm/JMeLkX7RNYkS/p
iMdoh0yvq1H4o6XfKlgpdwjXCOMyBgF9Lg+Kg4Wto0IXZjb2wSUKOmQ2HBLh4sWc1ygSFHK7Nmu5
0Qkey+KuHQfGWHJo888Ym8w7laJ9hRmCfmKthqnkDIHMemP6ef+5AYF114vZIJ8snO01SXvtUzs7
xjsQBJcGaN/6AGAicuZNpppLMiuD4zUacApvMB+nMDbM9uDVGC3WWdy3Hy2IYntDHlYkVyHqQ+q9
qaPmVTiKY5QaTdKuYzNmwSZw3YBf2hX6xh/Nel5XtCmwH7pW/R0GBLRVfwGv4uCEUOzo5ps0zfxQ
49H81hN7Q+zPldvaiYXhys40b+sKpQYMaDP67C64Vxc/9CcjySH4mVOb3gxW9SJ1AyE2b5PI2gIa
d88kFzDevtJkY7iy6DqX7kio3uYFOquu/NmhB0U7Zvj3qHyLbhWS/sSaslBrcwxWEGyzvrlHnzvz
yodL+zi/8m7Tpuk/Jz1BvYxKFyJu5Ar9NsX0+ECtWWm0NaQTnQ1HRi/96MUfNNVsXulB59UWrjgI
ueRK4F3CoTfzlcsLahRGb9M63hp+hBdsCDBfjKN9+IojpVw1Nohf5YEvqxfsL2kkJM5BAuZAesgA
orWw0citRxQN2fbKDs4WjDBanmpFZIuzNVtscZukyNpPOgmy7XVuxr7PegKXTZyiBVLcRTk8OazN
z2QmoBboCMG2F6xx0CxKxFaZzdcIX2aynuPY/gY5GAzDsA2zav6MD+djwP68MmAVwOoRg7WSC7Bg
5Sxo5QCWFdIqPGQm0rIYXRGUpmlrdMp8s6505sVNTQTdSLMe35M8zslCckYEANU56moIzzpAncNC
W2ZfURzCgJ4XHLR2KihueNnAy3lVUB8U28W6Yw84kkJbP0JJ1K8hjbHFHQFtuk05ZS4AakYAeNub
K5faaK+M6iuvmjR6/SyzvMRPsQCt7QVt7S+Qa5Ewut4Q6mV8KMdgoIxSmJ89gsZmBTLFujftGgPh
As82YZ1eHBMr/Wbped5nC2bbvBK3Qy9DJQAgtvniXZncS/FsbTigTZ+lHOtvMAEWfne3sLx58TgY
JgviO/D69tm1BpsYJgDgxYICl1cquF0vhHA7AhZOVDXc8AGP2Z6szfHA0wNXvFgQ405HB+NQzUkA
RIx0O5ZaH8g9yC7Y5OaVU562KMDEAi/Prxxzo/WjN+YIHumCuiR38co87yob9jxHNus9kG1/shY8
uiYTCba8XI5gV356fmWp56YdMvpE+b6CmdBeptBT8wpHJ+7E+cpjjxc0O4sEYTFa+ze5NFP0RAvE
nWsGz32QybgeOloZxAovxHcY3K/tAoHnZXXWyQKGH2qbSeUCi5cLNj52e71lVSX48EqVJ4MzdMiu
WWjz5AFHL+kVQU+sKPzhBUw/9m56UbUbCJRaEnL90CrrKyqMeoNVJFonRoYjZKJuxAtb0ywczyqk
ndQsSHwQSPmdnc7lfeV7qViTIOlhQcxZWEiFOmpFEIHLIvke5CZgaNm7XyCazV/HK42/Zjq+EJnS
r/UC65/HPHrqCVt+I2XYJOg8ov7z2UNuB7I09V4Ae0G/4AuYLbxY5AGATQFXsYQECF6L7VjoTq5o
7GnJoaAsn/ALLwhmvvcDIxoJ6aW2h01PY/o8XRMJQBXmr20Ma3gkix6drJeTXoCQJv6Od5jDYsU8
rVliDnBPztHOXcIPImA1994SiJAv0QiBO9DJW+ISIhj2tLmWEIUhi8EeazbcaZ6GZ6GBs3FDQ8qv
z37KajsGTvQEiv3lh/bHH6gsFg3FT5wd9LL0ESwT+ylYPWdB7f2A0quRZPp50c77RtY2e7/vEPla
eQZDJjsDJh2EixXg7w2XP/jEXzr6TBiIHQxcpgamGfjeMnD48ROlza20scrtM2WlD7XGM+LEnrWZ
4VmeiPiCilGO8ebPP3QZE/z6NWEJQQkFZygYsv38oQyyqjn0l8F5HOUXzjXdPWyYitQDiDf1rPod
RaDHAEs3H9dP/rcNn/5/bcXZHhaLH27SMgP7fba1dBP/8399+mi7/1h9lNF7/qOX5Pd/9/t0ymTQ
BDLFMX0mojhDuK+/9+PcvyzZJTTEAss2+V86dX/rx/l/YZLlE6ICJp+p7Q+R08L6i8tGIhAt+FK6
PhPyv83ofn9y6WNyxaOP6g+e5H98d+gRCp5mrGo+T/IvsykfDj6mPk/uVdxnuwbdB3ATL9m4SQYM
qpyOP1yeP/i4f5hGY4BxmNI5vs8VCfgiPz/EqRhD1IUBL0jWRhims/TDsZ3mYbBYZ8dpYPwQooDn
nB4AimIZoSBBlt6/ziRcrfUgsG0NTGb+ybtl/UNXkt9LSFPipMG/wxTg598LLwgHb5wsewSsXzp0
ZhsL5cvKhycoOueE8YD2fW6rXZjkMA+nG1f15j9Ri3G7f3nBF9+QCxFUeJYt3F9+h0wStbiARPZ1
wlwPnkF4klZSPf/5LfiDO+7wVV2MSJCbcSn9/E19LjKxlanc2xU5UhkYGcen9OPstCIbSv+TC/sH
3wk4BN/G8V1BS/qX54sGj2UCzwr2Qel7u1EySURGI/7Jp/BS/nrl4LICe0VbyzMsfnmq4A5ayJ1D
BDAxY0CO+1ht8x6kd/LtX754KCmINaLogS13pbr+sNWQxcgVXR7fMDFNNCEpoYe4XzO7vLfT7J8I
Kf7gThETt3Tcbcc1XfOXbzX2ZOL5rePvaSSBVpa0K0A7YkOfvXxNrtvhz7+bWO7FzxuMhMRFT9Zh
RWCd+uVeJZZ0ZvojpLMZTraCQBBcNDPhx9yKPeizHMjqsvF2xOih6qzSamfRhv/qoYpeAWhtHtNM
qr1dFsPGzrzQwonb1GvPlvnGRfl234ka262My6A59mmZrBElS0bD9QzrmYYj/c9utjYczbyBXq/3
oKiLH/78O/7Re740UEUAawNr36/PI0gToV0QWfuojMUxdQ15nAbXXOPefzEwbtZpCGFNRb9Bmaq3
jsjEMzwX+U8u9R89rwgBBCMV32SC8MuVxnXllG6YB/scx9ARneptCeUQIwCz6z//wv/4SRxR2D8Y
Z0uXa/3LJ2FpaDV0Mbn36TGtxyVDXFXFF3ovYvvnn8ST+Y8PLDgl00KKAcTL/+vf//B2NIwRcXEQ
7+cEg9iiX04OihX/Xpje+OgZPAii6Z4jWHLbtO+mbEM0N9E+XllrAiRGfQgQCOwn3wea1Pau99Qn
g/vOwFIetMf4Yw2mAxsS2TmXrhuqcxYXJCKqeKJXZvXpuMtl4K6bHpO9Wfj9kbgneaDr7+0CVU7k
YbTg1FQjtrarAov/0KTMdJETh3vdkbwQFShE+zh17+Bdjem6jVsPn8AoNnS9kjts4+n71KDFcIZA
k5MRzIcpcJELDo1/zJoOMwz9yzst+OJz6xAhAwRn5QYYFaQpwhsLlm2QdfY2D+viGCO6XreFBXtp
7OtnVO81StuyfpeRSXQrIlaO8VNDF79Ct0kfhRZFUOaHxOzSJ8OsmztpYlIEXlRrEqdGCJKjthsA
JEN4o4Y4fI0DLM0Do5Bvnm5Hwq9N+zOD408AhALM+wZ977RTd3ag7Fu/iDcwNg42le6hHPD3swJE
4tGyJKYNO/aIeHHs9m4eKOmhtXr7tlHZnq9DC2IAZBHC+9gQZtLnp6FKliE4TIBL0AcLASvri56h
W4hMtad9tM8bPXxwZOKaaLu8oMtjyI626rbpwpBLZov+2FRO+wmPybAgZdMG+gYkmVWozOCVYxve
ELcMuhdJ4Xrse3NYa1SBawUZgcxmD4VHY4YYqCJZY4Sb2foXJHQB8oTOJ0hGyswDsCO1K6HD3Il2
4PIxK3PfKdfJM+TesggNZGk61Bef41pMZwRnzmc7bjBYok2N74aoMUmRIoaOGrg3ASezeGCFUM6E
2SMrdPCqW5diy7YZcQ6Ibr81bsp38EOXJz4Y0vYJCRpxrTRna9gAKjwVFI8YHvzf5shGAGeiRYw2
uDLDdI+bJZ1XadZPF5EVGP+9zquQhhIXEHoR1qFwpN+NDYii1hbEc9nuECziBGMTOKo5qgCXkx1l
/QEvKWP92SB0KHWiYF9VBnZaE3DFhnCaW4Y5hKfamNlWY2nx+8Za2cjnZecRviC8mB6xkcD+1Yp8
Z6s5gctTVIhl8WSXmsFhMu3Q3MTPKDnHbZLU9I/53Q7aqKJd0HQBGQlmwf0di00EWg2wIEwYzA95
zwigigh+gM5+tqfmo7LcZpv0GGVV3DRfgjDwLA6odnM0LKVWZE5jIhMDGGxrdokWk56zafKMq2/K
7Eb2JTLdcYqPcakk35WQb7tNineTptEtTRh9kLbCrGQjK0Slq4klSU3QENzipxAjN7wyI9/qaYj3
6OMJIyEA69vgFt2DCBh3gDkq9qrtKZdFZO2kSX5vIYIdzdvpZpwt5xwK5Pujz9RY0byA33GK3ESe
20o2JMrNmkKhjeQ6TMOXaBqcc6Os6M7IJnHGmRSQFeTZL2J2O8S5jE+wKNCFXCYjhBW41SFGmbod
3YRXQRrRKcmsYYMOZ9gU8PDOUT28gZtrT7Iy4WS79L113/cHhS71pmMGSzq7o+cNMwKHLGhF2xVX
bLoG81ZtxoKDt+0CX7cbtPapPz+Jxm9vCAVMvo4oqGg5CLgiIUZJ8r1GpqmVPqbCCN9qNEgrILDB
i9c483ZUk7EpJ3++iYAV9ZTW+6oF2U14NaIZ7z7Mi0dMwPkRWKZ31BjQGC+km2gehn3eS2NX2Z7+
ADlKNzSrswI5d29YbxD57Bsnb280vIuNZLiwHrU5rYUzWRc6sJB/aBLmO5X7Gb6gSu8qB7lAa3UU
FJaHX06p4TFs6zLZKeZRq7ybSc0uMZbRXi207z5zSJr3fcOs0614lT0L9hodva3G0HoDkO2hTrAD
pWQ9+USerRffEi3P8p1IGbCQfHNbZSxA2G8wwgPi9LEqJbOzHQUpPXav7dtG9+FjaYbFFsn/dE6l
c+NUtLGC/8PemSxHjmRZ9lfqB1CCSRXAsg2wmYNxJn0DoTudmCdVzF/fx7xSWiIjS7Kk9r2IkAhx
Os0MBqg+fe/ec31j3cyOBPM6Dd0PonP90FtIe8eqeCElzN/lU02fXc6TfIdahnCgTBbGZ3Hh0BBO
Yhj+pM1QVi11+0JdNj/YdeYcgMPFe+avZWix2NxlFYBbqzOCp5TP+6GCaVRRMZeKqyErObOcd2i/
sDU3XuR1TWwyV8ajuZUNVwQQ1epdcFxhqklYvN7GVOmfMMxjM+y8QCGUypfZ38kaoWGv1+/FzpgX
IQ3YTN7wCVQD6O1Cd5BhucaxqiBQiqCL9MIovXEjZPDWHQ8hQqVcxyE45+LDNhEf2UmcbKwBM4W1
TEjPEK7vsgyJnIXeeFNM6qzWmMji0n0d7cyMksB4cUrm5w6b/EWCddtpMJwFww4Li1MsJ+7cQpfh
6rndE1EOT16mu0PT5sBseiApvS7y07xorFbdMByHOMe5oIa620u0Nvuxs+EwNKXcs6QY21jh42TI
Vt4sfWVfyA3Oohrv4UfjoxPpXEw15DOfaa4BZ9FB882GlG2xAQENkOb4kqDPqUN8YNNvVa7C3TRk
NEc51s7NSi4cNaNYdgwSm4NfNtVxyvR3Y9vNaZ5i6wk4QrdT5nJBPFKclhV3QhM4YJQtyxhfx6JI
vsVaqG3Kd3OPx9M8eqKLd0YdqMdVlMlOV9Dwgm64s2oj2ZVZUJ+kn8NXKfKhOBBGQ/8pb5ZwiDuA
8ZX50K0MdKH+2rvVJ411jQWKjsRN6hN5MiYDHhsog4M7+Zoss2tI7zy7S4b8r8fLOYVzgYFlEHHz
y57t8gwas+hhSHBFApmXJCcF1tFlULxpU3ku3OF9UXNzOzfz3Yyy/EtU7XDTteS8JVZJDoAPf9pp
9DaItf50mPLtK7Mbj8Ri7ovGeAXmB956QP+x7WqirJoYX2Taou1MBlm9zHru71DFNXuTTfAwt8mp
Xir14rapv6khzEIUHtVXV08rOzdFwcbOCCQizA1ukM3afAU+3dFlTx7oRteoXlriFuD6X7WXZD3Q
yBgvc6re2oUoh8YYblJ7RH63TNsmZd3Gvkrm5zATBT6DoR9JrRyDfiRWh7wpmrW3Ng5oXjPLHijs
IUAleRwRFQ4ssnZ8ewPE7FVfB5KtV29HxAe1zA7DZPXHckA146XaPjj4H7a+xSTJdzAP9plY96VB
lGzg7XQjvN0iUeBv2tbwT0GDCdZ2Mu9A9jtQgirqhsKKOEJFiCTaPaV8sfUTdJsyzeN9OgbAPnn9
jarEL/Cp8buHE2DT4t41J5zya74e+rZ7WXpcvnpcTr0xvPq5PV7InyOYQH0EPbpZJzV++aQV2E5x
i+HwKRnZoTIC0sh5/50Uv5lgjPsuw5UBB/QZjh5Cqq49tcK7yYR1a9grXFBv0DelMm4UdxCTmQDw
w+T4v5rZy3eJXYXsUuDD23HvyK56W50vWnHlzscQHloIkSA2tuVmwFfCF6izZzybmlWsflGr/yq7
nH+6z6KNf8yNuEnpcJNu2J8RpxClUqp8V1fpS2oHGGGqZ/geHzhn8Mu7ZSh0fedIzHAQdAGjtOO0
RdaD/jYnAsaGFBK5gv5F2tlQBKduN8nyMeepOpZ5+pO2w1FOS2T4ndgQoLvpuxF7WZ7GBzrk430d
JOJ+aT39u0c3RdMM0llsVKcgE3I3xtO6J9/uZ+F4HMw57j/3V+zu9ZDPI2sI+StdrXZXaTdM4krs
FITM01KUJrkoZFxQSslu6zo4c9PSHyI91zlxsChggrq+RRY3h8TyUqu0ccDhfnL3Bqkkez0R2DsI
gxqGD5xDJWApgPqCcpH5B7nAG86tzC0N7wlj+r3rTFkobfVjrNadJtxhg5Qd8lthDxsRs+bDMw87
J3hEFnHr5PFbv9R3lWTgU89874nRmpvcK9UxTdeWTb9+MXtkAQottz3n7XtujRAuPcaCWfPTM9w3
WRKwBd9DhUur+dJU8dqiurss5Vi9zjRDifAV5UFNiXUAddxsgUcuDGY1McPj0O9T4lFYUpr85NW4
7BavMzD8TdS2nvpRW8O4x8fEJzVzECj5eC8scNVp5TTb1SmHb29JnfusmanupAPTyzSbnRHMfbQU
5m3NmWWXc/5BpB5THBFvKWx1UT0HDNH63XvaGgL/cjzsabE8dbj8d3HbhWJM4JRV/b3ujGE7s3Zs
XciDtw2eGYr+mXNzZqnubrWJ+FHZXOxMyeHYr9UbShc0Wajjd3amoOVjLA69Sc7PtoFW3Ktbakk1
mYgHvebXzIc6ecorIznzldrW0B5scDd79lvzru1S85gAlzjBPkBklG+x69i35tLBA9BDfluQLPmq
rUa++rP4Hc+WHdmY94C/OeZbOZb9oYbx89S2o/o5cW9feuXL2yVjXJo7jrFv+3Tcz9Wc4hIP9J1A
HLZ1aeNEBNpCdOigsm8mqnlijCztvZgNtush6UElo7MmvJseX1jiVcAml7bDEeGPCSuu/Fg6SsWE
jtevOEnrbdYRSJIqSqGeI/I+yImRnJecWik3h4PsaoGLV0ryd/rlY4DAwIFJbkse3x1G/QFoeO5s
p1ygCScxB6cnyYKrW7Qnz0vHqNbyIaURFY5Q2W7XJQgO9iis3UwvBafYNOwbW2e3+BnVMTfLbR1M
8y7gQecsValzk2cj+j9FXYnU7jaYoFeimkrx01pQ3FZGdu06khg823JPlKQ48zrLdmAmiZuKXApI
a/4JmQeElaHpIiejmucA9jQRuPajAIEfyrn/mgNnekdq9aP2yD7roEK/ASL/4jiuHgOIsilAO2Ng
cjroHWq78Yym5MW2xRsvq0+1Co6phI6jU8phjQYnVDEtN3vWGcLOTqV3MB3oDdVKO9tqMOkFVYZF
1zGTIegIbp+maXeC1LsEQ77tvg2JsiJuwRaMOts0ogQMrPUwkjHUcLYiYrN+oFdRv7TGFABmT9tP
cCjOYzZm5gX9i7NNF46GG7lm6lLYwU9cjMEj/TgZtobTbwgUusod1jzsA4+c3XbwUHTW6o+SbyuD
uTiOM27mtovltoOMsIfRQIylhv7heFZ2ImIR8in0Q0z0VoMnpl5/TNo1D8maLO9pgwOjzHNFh0P+
9OYmpzgIUHU5COY0w8X70iF7uhiX7Aa4JFxwWMBHbr+HACWVtQHZ1x2Q1KU3yVjn27VpsrM9juik
jIKO6rmchxLa1eCMD0tuul9jPnX2ycDkvB8nUnFCR67eO1NKxITu5AEdUCS8fjfcZF7otEsOeifp
l+e1wvyP5A9RJTyDuXfx7qvyfZJigKc3cdJb+/UZSaq7b8eS3XEp3IipyROwL9bMQBW/gMpCL/Ct
OfLJqN+aNTjdQrfiJS7qc9GPd35lqVPpuWLToJTgNkSudVurKtjmiM34FN5K7nFad+mmR037ygup
F3DDzXtxXTthS98hOyp2ed16mIwCa1daU8oy5/f1Rwuy9tSLyt6uLrCgyG26mPSjeHyZumV9KuKR
rIDCcW9h/RIpZrgmEmjChhYjp8uuy7Y8WG2AVav3siECEY5yrV9AkBE1zf5LFifsEDKoRoiUk7HN
vKbDfJICoi+B0KL1S+ilLx36RVIaSDz1hsG4hjLrcmfEU/tJZreNP3XyimeP9eduqHzMefU1xjzm
MLkfuNT+Dfs3NNnMVo+x0KxexSPO2GpPDMMcCvqXmzYw0WQIKMaJJYAN8350PALdH407Gu4gV2N4
imN8BbFY7s4QE3lM2Lb23pjgn89blG2AlA1DR8ZcENwyBl1xKxJs1kWnX70uy1OAZI7BAaGVn5Kj
1CEYfTuEL9ZvpwCQrwd195EjZczzX8FPSw2QjV3Lu+rTd9ycVDcCAJxhXdmT6/S1ats91jMRj806
vUKZBkDRT3s6tahc/di8aBsfLg4HE56ZUYRl5rmHGlJtiIm/Q+yUPUKZGLbNOJ5i15zJoPQRjkq6
wuiI4uHW07n9c268DO1oXsGcdMzFg/xjjoJWaNufXU8Ne8+7iggTZfpfiEyC/bDY7Rvtj/aBcJn+
MZn8/p2RfH7PledcTOtuZ43Ku6eWAwzfJf6u4umLzNH+DQBeHYLVmu/Fmqxo6YMy/kkPlgqffjmp
Uw6wCWTgOsNoh2jT2w1FbRTbKekwsRfIB/tvNIIWlDzwy2YkJ4T1+0qgBsKJ3AYv7KWD2KSIo33Y
xAPH4KLBCXDsg4VMWQWUfZ/4Pfr2xqtue1HkLzA/4q2V+h2ptnIiRuQ6cYlJmwAyHs5llm7LtOG3
D5N+FFPr7qsWfxVtEY9frQPaF5qOnvA81LkBtSxxP3Nnl/dtwTKd2qi7mFmGtaoj0brjfVyWUQ9q
ezM5ZLrXBKkB2f4eVvVS93PwUs8ThFYMybm3SWpdRZ61vlf1/LaiZYfNh+omHcH+acj4ftsnYbNA
X00aekIMdAh/yYxXPUGPCjJ6l7TdixBxGXxWpJQV0sZd33Dq6hJBDCvQrJ0eXYPGS6qcIxUsmt9M
EcOwM3t2RVAsPpBC0UyYBpWPHN3VE8RxqGzDSqC0adwBBF4aYhWQZ27oaKRPjueIM0Vfc7RJBN32
Wdo+yXEBOOz10tKbttJMqWl4wHheB7u/aAeaLAuYI5/NpO3AQSUcIpH3tOg2YledDMcmE5YQYVBP
PmSzLqGtaU6efOdzrbt+qcDqdIPAmQ6LxrmeWMpLbCZg66y1c75ghFD0Gi250G1QW3ZIZ7F98RGb
EQQ7XlvIBYKsb1cWMIwn3zf2OTMEtjf6JW9iLrx3+G3eDROpqxPA8h4ZfHpHaTvOiymShHwNYaQA
Fgx3wupf6uBjXPyGQsaoavJ91t7k3jZxcpAblVPlVzxb+djUXYTQ+xrX5zovA4/wa2zm7Xfh1cSM
94Gu7gnutRkxdDmekQ5091dnCPMYE/Z7MJmMPGUV8s+IQCnNvtPIHwvan3vR5uXP0luRz+ZJcj/M
jfs+GA5ODz0k1WcukPy2lcv/11NwNZYYHJjCucKzELSNeAoacl2wHLnWpya36TCpngQhuADyUpig
ViBp6ORirO4VSWjs7DTOXk38q99NbTevDJHityqpmg+DZ39raK58zuUEk0gleVjqbH2LlyZ9rxOb
RxMbe/9hK0N+0gV2f5CtB0Yenc4udrAHuZoSfnWIdK+5RU6t4ZI+VxHhUnnL/E0OBiwK+jYhiSXg
jxCzV+ECA+7VEFV6dGZzuVXTFHzkll2Epqcb1LF+dpK0mYkoBt0ClEPFnytNFh6Apuw+/LqPTyu1
NkX1Wqp9QQG46XWlU9wf4pnNq/49kjZ/kUS/7xk2GHC3iGPcUubloVUYPwg3wZbEHN6kd2NiwLKS
cg/vBGMMTRtyyZhKbJ2mrS6MyzBWzAn9LpGVFCW1XbVPi55g5sN0gxy9oM6ExYSg1+6n8uhOi3+c
MUqTD9S0X7gjGQw2Vu+QwoyDZoUDlpXPQBdNtOZF1dyyYPjg7TO+ORvXe7PnmDyjxbM7TtF4yvJr
qFB59U6gpfoFy256oGE9XUwz7p7E6DW/RTfgJjDr4rQOsfwOXOHfxn3b3iSuZ8CbRnj5jR2j+V3Y
xYRxCJsR/KHYf8+V0h7iYE/JyCfFABb85LrQfmtHHrhVgyhlQPqsBXxSxHQC3xOpquajoXr3NfGq
6qtO1CsQ/TqsNRUJ2sg133hlYoF/EV1xWYdp+axg3eNgoXc6UE8RR+bRel9JXKatJ7ATwRifZi7y
AB6vQIXbruYpT0GWkqZsmcwb5ji7W+ZeNJFg6soakdT+zoEOcE5z9q+ooF+xm1aM0Rt0+1iCbPgv
e1sXDKJbHzve2LkzYytYonfm4NGw83r4y0J6yR/SeRElSr/jVSfaqPJIbxwr1TymfFH+zvW1+6IZ
EC6YFTrvi9IITV5wdTnkfwwP5R/zQ/vHCMHEeFl23M253scWe+am/+Oe8IJa/hj+eCpaSv5zEjvT
C3YtdrYA80WyGnTtjdoKSDdZfiqF1I/J8YQ7HmH+K2XGI5+AYYKFnBVSp3ntY8/McbyPpFzLL5VM
MS3LXoSpXJCKWNaN6GlhshdcjSPOHxOJRwfb3oAwY+Dh8AfPVj+OAz5c16q3beKgqh0sr4EZl2a0
zrSV/4q1CzUXdwY5RUmPp8czzQxzRtz9UpBD2HUxYG5GRjfLGZ5nGZpTL9/XjqkDQwwOb5WKq+Kg
ysL5ysvePC8A5jngXhPxlrGq9/BPZFjm/bKT8PUZ5vn1cUoGBmUew7QLUaEz2THuwG6iY/1rzVuL
Es821Bv+kArQPtVEk7bfzmgFZ2G4wSlHbXWZVoegcz62Pi1IWG+XZTAiZrWc8Zdih+XU2BhM+/ac
bRoSdRxNIK4/OqQ2kZB0SX1xD4kfuGPSJcCJKtDCtjbmA/C0dNwxt093tXY/4VYuj4bM3V+GpLVj
AdRbbCJmBuHkL7gLSvOwTk1A8xeoOwbx+sZIGuuubBvjkYiE/0mIcZU//LPkJTDRjDps3JhoXfcq
n/iLYiEtTK9t086/nukZnnJivniE/dwTTJGxb1OqAlMy8hdzHNlK/71gwv3v5BJIUJiCXtEslv83
fc+VwutnwezvF5n09wEhzodRaaYIJmN7Z5rNMOZMxmAcC8TXtLKlqGGodu1YwG7jmy1aLULfr2h2
tgD7ypoBUz1LZzdRxjNvtq1LnUwObZkKEgYNVLEelHSbE/F6622vszttj4wqBL1BB6VWGQ5TsbKu
UAGz15eYc4fC3ldzYZBhZeGbJxNkMyjc9eYkngnAuIrsF+vSZfJXDjkhBIIHRg63xoakWw9rTnqV
Ss04hv79pbOvWte/fW/ofK92ZMemO/j3aM2KW4nL51Kto6Hk3GBeXBg3TTjkC7ZUJEvTgjYDyAC7
0jIs50wPyy4g8qflZuoQMEWAHwLwCRjB/M1QyW0eOOPRbDRRU7Nxnkk5Az+HTy9z8vxQ58B5/v1H
uApJ/+UjCAZars+/0edclXN/ufUy9pJ2DFSwN1Wbc8QhApR073VOz6vRPxI9LaORzTlESp+eyDod
fjPxGo4KM+8BvXMkrBo0hJ7I06rRbfz7d/evsr0AcSaYctuG5ib+LhJM6OFJS4KWKCwaVYwik+DG
jGv1P7zMNYT9Xy4CcVCoqAEw4Z75mxixZWDs6rgN9ow/l4Lt20PIPqkhmudS/rQ5wLNGFm1YW3Ed
xcMoHzOK0DmiMV6c0ewE9+Xio50feFhagQ8K9oOJKy5eja2bmc/4O/Xrv7801t+vDeu1aQlh/gG8
0/v5m0wTwgnpk5p7D2Ivi8JqE1vkmTQH87hoN/T93deguG/MrPmAO0cST2WTWjWW6WnBsBMhZli+
BHy1/wI9/X+R9vPSIrX+/KoywMuacM5f/V/F1pa4yu//n3r/XzTa/6f+StXnf1zU59dvnf7r3/wH
NcH9Tw/YjycChND/pNL2JH+CSE9apO24/BD36D9U2lbwn5bkIYHE/48gAN0MV7iQRQAx82ieoUBI
bu//FTLBuu4D/7TY8RJAW60A4b9Axfe3TUqSeDEib+t3ijmjfkoR8T2vHhD9iCm8vHe91KdrYzWw
CM252bnow7Zln4joL5ft8l8v+B/1UF2arO41hCSMSn97J7wN7Afc82gWWXb/vNO/rFmmGGVmLIG9
bSytXwt/GaJYBvFxTCr7eSiy4GaWnGokhhCwO2HbDMyoAwOW9CyAzDbZjrIMITUtmh8kNrLqpWQj
IjbIoFgmMdy2fomPq63tiDb4cJfmeDQ3eSdoUhL8+JBqxVbU2TVM50oBLDAg2M5JCcpcodpyhIcj
KuE8j/+JbrXtevhlJJk/ub/gggJNT4qiTWZMzs9f5TCzdVSxnD8bgxgAFDp32LGNgy9zQRNF986n
KczyVjglTre+K2kMzGZ3nmUP4WCZf8JKXb/odotn2hPoqBYH6ncx6QtHD3yFyAQyWktT87P3fH0c
5KjucShbJ7Nh0iFTqP2SoJpLgiwjcmsMcnihTmVDRCPhVptqkMnL4gYA5HKSckIX3cq7NTBca6Rp
v6RTYEDKKJxjXrPJrwSv3XRpYuz4EXNPpKGMmilVB3rOwQ3QoulIXoMVqaUEd5AsUed2w3npDXiO
JNVv26lrt97QcZ4cOGjuFm9CqdC7C0R72T+LDmFUkDVO5CVd+lTWk3j3Vj/eEs529e2ZZMloZ+Wj
dRe6zJhVpTHdJuA1nodpNt5wpYxMsq7SJZceq2psMtaQWADIV+NXV+X+VlZF/UBukZOhyTCG2wla
9ilLHDeyyK3Q83QLd+AAR/rsd9BBk5kYw9H07j18mkAXGZWF4DH2doVw0hBKbL0Cz3ThUGdqLTkt
pkt5kClqpJjsQ80RUUt9KYcMrk8ad7RmdR1NlUIEOeKebHsGZG1R9O9ZnvR7fFgkJyTJHyec8dNb
Owi/Y73cVRzHSLzjfsq4rXYU3sW2Zah0/S/5laDj2uMAT2CVGna9waa23CYuRkwab9aDOTvWBfzI
fG+2RBp27ThH00o8UBXAISkJGE2rYd23UEweEH5I1B/u+uD2cb7tVmILKoeR4MgQ41IsWX1Pakmy
JVNIbAnjk8e0syGpp10SKeCY4ej17aGZ2va1BCPNt+mR9QlnnZFS9e1gK9paU1A9x+41ZXfhjMjv
oKZKO3kY52C9mYFUHxvR+/uaFgd5bhjnOWyTklsZQbBV6FbDeYYMrhI4B6o3/G2BD3zee5T9mtg+
JXaAIkePJULyrHHWvDLsqU3raqkO+VA6jE28eDM4s7zPNGjwcZ5Cs9Z3c7uS8DY2AiSJu+xzWLaR
O0rrNvFTWEwl8EffvTcH5vYpNubErIczItbs19Ko9Jup2xBe461DK1jjm8UClLZ6TveesOofHBLi
Tmoc29t6cvvjWo9iZ3ievCd4HSkT4pTHhD7Wp91eOyw5XIQeId0v5ZbdIyuzfyy9Rv2wO0I+mCvH
YZDIKg3bbBjqK+9aFkffFQj2heo2Mf3/hVktA+IIDU5FGG8LjylOi2kndOC3dzWBLDVVQpLfDoSL
Ryk09B1ACbDfpMLWTAWSNCRB3esjuzMdasZhZF5lORMFYxa/IuAlsLUCi0xmFinPCGdKvmdQmL34
qCx/eDDsBskWuavqVXd4tgsrTsgGVdWJzY+ocCdddqxpy14vQ32alir9aK16BKOQkDxFyWwg5kGN
tVvbqU7olASzc5O2hTh59EHcLZ3q30sBbOTY1nW3ncAnnvxSi3c3C0B+5/TfNvQy8WhQ2O9r15vp
t/pB+51BHGm38ar6bwARekNURP9eWcFwaGVzX6fGWzdP+lAbJhMClHhUvhl6wPaaSEjiSMAY31zd
DxR/9DAgbjbvbqXKY5Av14bu5B3jKfOv+OD6mNIPLiO0ajOqji4uL+TVc7glosOdjzJfxuCmrWKr
+C1xpg+PVl65T0nbOPOub432U/MofMaxXb82ZWrcAgypUxzlbNBbS/FqVbBOLy2aNoNNKqbtM47v
RRUYZzycc4ySelGhlBPpmqKnQ2lmzgSK5nr/J61yHuvZr3xmyrUO0VrKb2uxxeMVV+AfJy8v84de
6+bYcxR/GlRHSWDhPI8cq7PF3VgF3XdSEXW/TTNPvkGuc34tuEOPNLfEfgHAdCY02f+NHBhHSQwz
9QAEVdzEuTunGwI00cClQt7WM1e1KDAzovFlpqWNTj4SSdN9VK7sHl1W66el6joifgxIeDqxxa4t
UrLKOPPMtw7YzoMrsmTLHIZOE9HbsGJh5OI9KAEHW7GXn8bi0WCMdEYVQsgxidTkAxEtEOaB2Zlv
TaCyj0nkg71RbbYiy6Sj4myzBkutNBHI3xM9l1/78DUdNI2VeAtxDvXiSnjNg1UjGzEsI3lIJzG9
l6q1Xhxjcp6a3kIRY2mxsx2o13FpJC+1DMhzsTQVvBz5FdRaUx45tRqjcs6mfdfY/dnykLpRpRkP
YrEbks8HHSIFa36TJ23vfFI90Z8mjBbVDPABdQAcagilxXy3FJXdb9d1sUlRSMdK4DXArZ1b0xBN
SXKMdTP/xLw8RWAn0jf0SfrWc5IqNNIUeBXjo3DkAofEdR7sKu9CFCL+Ma3m9X7oSxkp4vvQN5qV
QS3m7+c5ZyBfV0WlmbXGTT+f27g2yDMiecw+eHpep5Nu8vREOdNEdGCwkFI2yGcXCBak5Zb9nZ6I
Z10gmKyY1yW3ApAnWA/KUY/8rZ3IF1TZw4z8nAlVhIrGO+NeXrZpsyQVqga6g20sV8KlxHIkH6bf
xQVQFTgawa7urrYJOrvg+dfkflwXsetd7lE3Vf6NNJheZAkBnOi+Wvc3KpJZ1e/SHD5jQbq9U5xs
712Nk0OPbYxBXM6G/kl92ex6SxDiUmNyezMwT1xKlRE8WsQllFbOu3eNwWa5X0woLgA3gr1vXLXG
RVDuc4SLB6YKci+AEEZWLcfurgGnGhJBAUt4qDAoxqa1XPQMIPDUNKu4JdwF7ZpIoQ+NTpmfSQUu
nkeInxu7NM29AOBxzLXIL/B+Hb3N22b5PcIs90Jio/M3vw/iqDbggUVBrj0nzE0HpMNkOQ0GhupK
BJvJLMnjjSAhegNL3UuPvp6zMM/aSYcAFlDqz5N7XBvV7iTu/5vaG8y7fPI6m/q2eJ2b1LFPI2l7
BMNaXnwI4rgrDzmc7Bsfnvl1joQP0GT4IWl1HUbagj8HnTgXd7oG3im9mE+sNqngxgVCGKUwzyIF
NJ/82PFU0BhQBY1lryi3FD1oAuMaEpUQgGCG0vhcJyDR+1H2xsnP808A18F9R6MPTuRql7+H2kvu
C1ZFdv+ebqqaXU4PwxIvEZPQ+tYrUbdrYzRfaXEFFza4Dkjj5J6DwOh3gD6GnTuTW5HPTfwtSllu
C8vx7hHF2xTQHrkKzeRZrKKt8WrIlTWE4FwmlgG08H3BvG7rlaJ7XCdJB3/ubedOxWYQZsE6f4q8
jB9ob7s0NQ3cfr2gLCN9G4GfhgjRViG2iy7ygJ2wcybwXgT+NWFNd7GiKMgm5+zwDW3zpfC2I1b4
l9YGvC/ZaABJIp+tstiDSF+mr9ag7jqbPFYCfvW+RPDD1IbDzY0SSXGWBXSdjbTL4dBwxoiCBO+a
iUzwwb3SG92yPpdN+SLt6rcR+/f9iJyuAKDArBaKZ5bW09HISPRRhG42sII20urX+xLmza9xUcN9
Q/W1gY6f3KRrkR6knyDqsn4WE7Eefe/uSBcKzYQEeGhtKWepdYpQt1Q7iw0pwY6xMCFE536Q2YAX
xWYAkwLjEKeUbCaEKudizeRt4iXWufYzhZLYmYpwbQVOC2s0KBmrL5AuiYUkdHpueZh2pAEjdvfp
lpsdCQdoY4sHpsbyGKvEPfv94D645E+cRrMdt72VB5Fn+Nk+5mk/Dwvk9o3TKIsStCbIbChp0Czc
GgSellEj5kNcSol3Pzv5Rb83Cbu0fLKjwFBVZNJNNYBAqo7sRE5lHio7h/5gCzNaJHsTs/VmOF5D
wXa5kTsonYW68gGVG0GOObhZd+hMaojVHX20enT1E3TMx3itWP/Gka86ppcdktZmbOk2wuZPuuDd
ZHq+1/FivSmfkj3okvLUImeMLMNKbktDuFsxBSP517n9A6uf8wYKqoXGJBEFxdn4WtRxc3Tq1ni0
xkE8FmtXsFYKwuxcDHI3CuwJkVjdShptO/2yLIsjtNWS4ef2zReeJtSkbn8zdzkS1phUDDP+ac7s
fc4SrkYB4j4ziFAajLO9oCppiW4/GGSWwtcegttJTsGTH+d9hCopZ25HATt6tbPVDl1j4UEcTmtk
tVkTSTNGv+ByijSrR0JSCuqEWn0CeHQjMnPikLmocdSOfZiLFQopseFbfDr9XR/0+uQFxaNokLYR
oXPlMN419luHl2koTMSU/s7u5UeRTvf1ZFqHIp2ffIKeE6N6RMSNzs26bkvAnmKrGUNKwzeVBO9o
GiJ7zD4VjY2whN8YoTdLH/N5qA5BL1nYrw41t5hs7mPVHAOf3Ax8xqdkdtezVKmx9YQPoq+AaLwU
aLbytDzEZp0dp75M9s4IKsupM/A45G/YJQc8RDkoFwRl+BGPrDysaVX8cuy8uSkGD1gi2C9ivAfW
SERxh7QBkIKNzNwnAbFdTeHF57kk0skIEn0ILE76m7rL0T4zdt74sxet2h+PDJDKfeYdrSE9WxWO
XYfpbEtO/Evbev0NYxHnhfx6pONq7ANYatB79giHKsxT8YI5yM8HsWPO2r6ioCsjSCvTbpVMFqo1
aM9pg0eKAd6lEOhtF8HPj3Kb2vn/pe7MeuNG0qz9h4YFksEgg8BcZTL3lJRaLeuGsCWL+74EyV//
PekaoFxVja6vgbkZ9FVBtrMzlYx4l3Oec+yL5kc5yfYGmSEqpkiZ5YYD/mjWKmiAAm4ZMdWHVJGi
3ogpC+yshd3FvjVwPRteHu8P19qQ9bCjput+XzWHMVXqMg0EZoSY8oLSw30CvWgzNhOYYmD7gwBe
nVnVq3AN82EM044OZ/Ln+8LE7I+ow223vVT2TiclWmNt8tETnoLvV/uovowogkYoz7CTCLqpXfKI
5lCdibS4idgc4uX6AaYgRoTvwQJ4RDUXJLG4zAm2pT75zvrtxxy1rliZdUUhbjf43KWLRK+z2mrL
tWlgwAIcwLybaBGj0LdDRkrHysMpys21zyy5t1jfsCYNNNY14EfFXqmKB8ojoKoPf5CTcWuU0t91
3rKXhnWSCuUUtda2Gcevg62jdj0JkR0aroNHXPfzrQjjr4OwFyIPjBdgqfKuSKf+myFFvefnpFFT
tng0EAfR0I1RohiPyDxvKtEEdcpEHXWle25sqKCptF85wJFqm43Ez1gQPsfaNFCz9QLZ3A9SV5ED
TwgcNfS6RSM8V/0PPJH2auRqXvkeStyMDLfVXLjIQOyDGyeHIpvWsS6eGjehvJR6nTQjKDYucKLc
asIoxC4v51eo3Q5PD0KpRF+V6rmT94802R0A/+QmDYmU863+otucUk8k8SXuALNVqCm9CfSNlZvU
i3jYt56FhhwD4HbCPABAD78J0UnO7YTlK1A5xqusxVCBo2ljd+bGba9GLghMRyc7G755qjWpIXFV
Pg4piu+xPIZ+5+/ZLd26iz+1QTeQdzFUVvEUYW589cv+mC5dhrUM10ZRT0iF82nHatEuNznrqkPS
d8PWyFzCdqzY3medNV6aZYzeImLK1jyh32j5n4BirTUyB1bNzYfHnAsQI+2fRel7iJkMbRDRnQkP
paF2r+qmyVN7x8bJV+rhDkQsyTNDVb8IePLAyGc0TomhxMaq63RV9li+mnquz7bHxIy2ASgkeoPH
JUaGH5rLdFNBb2SWabvNAQr3gPRnwtDE/sIgiXPl63TiF4XyrAamvvFsbwY8WIvkeZSTc8v3bGPj
WJ3dsDunoYPYLzWZeh2W1FZooqfutesc48B2NgGYac5I1IDD1UvY7TFZP/ph+ljYVbzzqrTetX6d
vRjkmweNbC8DUVyrNGG7nkHOCIwQqXvEPU+dPBoMXxHO2BDB8FSNEF9HkOIerkDTaMrDUrNUarT+
Kitw+jOn+MFNIucmN+ErRKAxGRHnGXAvxjdUy3oS6uxFNZHtzIVqL5Apfy4UDKFieLkUKfLDY9S1
6rBuXko3ne7TLmrgol7n4UBeNJNUFF62HX3JFtiEnarKI3qRqd50SRomEOc6lHHhPKU7ncXZW5vq
ftdnQm4rKk0KqgwCucONnCxmSxihx0Kfc2HOrRtfouEkrHM+lTI1XkLy7oj6ofXYdIZlgWqSFsRD
lWWoF6siPU8dJZkHlWk/ass8TV5U8u0siwW77+x6WO7c5BRGOOD4K2Jj2kl/ppe3XzBtyYPVu81n
F9eUjqHTnXVLw1QawsRgKLGuupXYNUjldw3GbbW2XAIEI8ilRTDWhTybYx+0FH+C8AUCiZhSnP1W
2hCw7OiYz7b9xMFf3g1ALFEWNYiKzLZpSLIsRLOdTHytpArXRBnHTc3V5y3r2WnQ9SHmYRJWzXb8
TbmcF0g2dPbMzv1m8CVArVmXl7SpSByZnB+hb4rvpgDBG4BNCD/CPCmeKEO+pj4pgU3W3oPne7L9
bAzG68BrWPS+X+Z6m1E7n6bJ5OsKVnQN6H/cE1FefqslFilVO+kac4q5GSvwlRHjwSCas+ViDoAj
2SMgzJzJKdmSfNnzaDkM6Fycy0XlbWEk17cqE1hymwmNatw/jzM6VtNuvyQWtMY2QfmBZMe9XQAn
P8xG17w50TVB1gw9vRNycJr14CDHqCWNTRQ+xbEPONm/ljsDPiM1nKYkTTnwpvQ4295nQvm/EmnR
BxkjKE6CSdYgCJX/ZOXEea67BWLX0Fvl2V3Cy+BhPI1c/z72FJm4Y461prff8cTxZZSJuIEOGEIl
XMSpS2fj2+hG0Sas/De/txRsSRAfVEnOeh5zijBfgIMrwjw9TKNt7a/EwrS2jwlV03OaW/LWtvj6
lR6m5mFSRHARb42ROL/vExfTJIspvK792aJQ71SPhWthKrkZ7aU7oNE3yIqbfIYYzlNcAzgtM2jh
TpulK7baoNBQ08/Iy1cCtGJviTtjacwzoA6cxaFMj5aKaIqzzGcy5GanvpweLBsFKFmD3srT2jra
of+ItMo5xfDWTB6ilSn1th09fwNb7anK09sZ3yjCotq52h6RkiwZ+KW1HHCToq/rtzYVDmcho1Fn
0/sjZzIK8Orkg9qLmQLghSWCIGJe7XIgY7Gqn2ffcD/w5zG1rPBiUVgs/Hpld6j4GpLZXFcxLXWG
8I9j8YZ0ovACI3w5zr0Lx9uHnkFS1rOM3Hu3S4ExO/43N7UwCkRnsldhdsiOUnAW9z510SmJh3UL
0CEp2pd5SF8lXsRV3dVEzGFoMLL7sBvjgAgz/7HFdrK2EcI/CLNqTwjK+gCGVPwiEcnus1ZT0kxd
FeDdwdVNXFIT187GU7WxKzBjR8P9xK7pJtJxihJp0d8KpGshBr6asrsn2gIXHk9AVMqzNdjsxRC5
mRvkwcdodFQwWe0B4y8QOgep3U6hSaVboVrABTZznaC8KtcmJCpGji7qqQZHA8znwn4xm9i5FkC1
PMAlKr9bzBp4fmDDn/lH02Op5udeMaLKDXtbcb7d+DOM3bWBE/J9ySjMuA/1faKXEUJ1iZzSb3vz
FayH8UTfL84LX+WXqcxHXK6g86Bkx90d5wJ8q2hw8jfkWuN77PX0dQwN/PFK58zkcupK8FtMb53h
RSLTuRuNicd4JlO4Ysek49tw0emM8yKhzMxr4T/lltsd4qlaOK7Qt3/Vpiefh9gi8Qu5rLwpIwls
kFRrIldZveV3kVRGSfD5hHuPVGhSkiGcODBabS95HnLdHlhHUcah/ku2dNTO3hsIRVu5VW3zZ238
BX6mx9fUK9/xshlrjHrvtOUGBpwEM4vZ2O85BR8Lt4WB1YqEa3XoBlPB4SQaiv0f/wuGuuxuZgRX
lJSmfEVmw7PEj83uxhBu913kNhjvzg6rbT2MEl2oqLbL6LgHFUYEdeaMVgd4NozH2Am3ru63dZLL
+8F1ONGI/eWL0oCE3A6xK/aGEQKsYLuxxo3iXyddJZmQgljgSA54jtGPelZK6OnUPriTwxoyD3Fi
g40wIHuk+U1vuNMjk7V421TFellGH3+z0VxhshmkdR6/FDeF54L+86xQfq9wIo0bJzcJzDDy4tnu
fcyzTGX33pSLu1wbWbf2YK+yigZFLxpC5kbHWpsiwr3WTsmWjeKu0XyBo0V9K2MTEHcTphe++M1m
MfzhUNmVfWeO8Te/uybfJdS0q0GPX50ayWfngIbPnOUyID8J7Logq8BchlUIixXwfbEEzfxaJ0HW
mc0KjuMtG0GgnkNjPSNWR5iatTs/UctLOcZmMEVVuyEETyPOsbDN5+1RkLWwnryFkBtJRGknjPBh
IMOVh8p9I6YknvG1Q0I3sfbepIrh18QI7IH4zwyJWCmdJ5ZNyzbGPHxPCk+y7Sdj+hr21g+IIJIE
gtC5K9u2eCkT7o4qQ3kMADK5H7QvdqN082KNVx2rD1sUd1ljk/WR54cjXQe87qeYuJ0Hz2bhs7GL
BA44SpzkhM2KkiBSjhVEgjtZou2Cmzw9TnNm7RM5YNicfBo0HGVsEA+zU7E6vSq1rze1R+Ox8a7i
3RpBwKq2GvMFfA/sneGK+O9HEl4Wwwpgd4+bStZPdGZUKb3T7hRWpJtUp+O2gLYdzJn9xv4tPF2z
AM6kwRIS3dDQzElx5dFz1I4peTEzu78bvL/yi2csmyIy9TZNxIwSuPf2WV23p3qxkm02dOZDrO1x
x5KBMWdf65rZzYzFhyS/8DEeJ/eWcSVvJWUp6DWlc2I1bV34VEFTu85c31jhIIlcIowVS45nI6Oo
1XImRs37nOeyyHdsX+gB2bpNR6Tc0JudhW8Ps9SnaHGGOzHUFyNagpJpHhbB3j04uQdR0HRldYrK
iGFcY+JTDVirDFt0qdkart5nA1oDhJjLSsWrxPCRIx3Y9uTj7kUE9wSjRm3vLAqFEy6ffV7M/bds
RMaz8UdDYySRZfLC7/cNL0S6mxgicHWxV8fAadG2TSF5P92r6aQxVt0E+6u2YqzzDmM6hjvs78zA
cYQxoMYf3I3OXFaKrTWe5gWEuyJa82s/i/mSztyPdeOlqz6mMYCIc/LKqyWoxiJB5qqnqf+JxEke
+kY1jIvTTtyJiBO6r/AyZf420Xx/IRE8W7nMPhbQ/yjaW++DDZx/loN1TIZUkCfcktkKa1gDgu4T
Kyeix6heCfGeYfQ3UIrL0uJbYRmBmYn6TftIgVdTOGb2akpcRsHUDO/MQOk87EbcRTAzNgiD0opf
HL4LIaZDBYQNFsrkmCdS33m0U6wlo4GEuOyNr2E7tW9+TL0BYXk0T0yfuW3GVCJuZlhJm+BoBNLk
k+3R7ECSqobmC4Ohr3hxvuvJz7nG3fZZ2DEZKw24iRXXafJq0X9i1jZZ6wymOWO+oE6n1+jopsBk
ZYqeBVYHbtYsm8p7NRfLOiyVe9cTorSx61zvlzIblzWTvn5rdVHlbCGHocnQSO/gKenegFss1j8b
nIyxxHbx2ns2Xtglk8piihF1014Zts8qw1DwwCb7vnLM8Qz3BpMg59EDIg9jvTDpDyjap0suIwcA
ZB+9xn0pnpsMDC9JkCnnQY6r2DCccdcN1/k4tkvrNrU1cyezLRQLr77DKA3GPsE9vvIiboKknBm0
j0lWrCwdBb1h2WdzyKGjlDYin3Jx7TqolJcGbuOWG+V1n6mV9EFfhQ1EtBQ5Q5vlZLsL68ljtr9O
TItQAE7TDfvd4mzk9kWOJbZ5AC247Rbvdm6bin5/mr6PhErjk1Fa3YNHx/4H+MG/NYlxfmBJ6z+i
xJwuLLCvsktw2cbsslcrzfGYtt68QJXPB9JcY/XozGwZZ9G/dsyhrxyUdrkBxUyA1JC0O65S9C7J
PICkLx4Q72XniZprn/qkqDhaveBZJpwhbZJrWvGUPjfodS56nOS0MgcnfZkaHLkrchIQNyVjva7F
ctPyhSBxOMTDX8zeoYuzXVzo+CgL3MNFqBSsEXlbh1kRDIJY6hLuzYFZxrhekrrgiZj00aoRzixp
y3yz9TwA7cBPXpG0ovpAZfzFcMWDasNnsPr6ErcRHnJSahkIEStO1G4cFFN6H7MnhKTQ7x3l8fz4
/nzCKcvkNZ/K26waW5xw2QFAgr4vvYS5AU3U2Z8L0NE0T+Km9nwE+5Z+Vx3AN3M+RRELI2XIY9kU
LG1MFQ37lHij17htsBNgSd5JxymerYGg51XPTvpQkrxlVS5ZZdgx17EjpyCx7IYoWD4o1YX9ija5
AfPHohpSm4tGvDSMZt24msSfJkr34OmQdQAtWcNGIboe707B9TXj5oMobZAdb+b3HNMk+LCSnzbc
HNWWnaR5GuzxRw2iald3kdxjmGK0h/q/vuXcknifxXxET4AO3I+mpysV/BaeGFbuQS0PSCzzzZKE
jKR8q3xoKC4edD/bRP4W9VdgC2m8ismTP02FSbyAb6lPdxIA8buMrLqFppSJdNhkPPlLc8d6yf+C
w2fGvFoxNYgrI8hgx2wkMbeHVMvqQJKQTZ6am9yKsmNQvsR5u/a16C/MBuL3XLNPXiV16cCqyCbk
DpZ7mt3OweWuJ86zpWNqOMkThn4fNgRcJHRbCfsE6fjvTeg7RwqV6J0hITUEAU3spZv0PqEJL2gE
BnnEOHodBX0xsaBEhFGZ/Veype0XphvJV/Rpyx2zDTLg/dDYLK2f/ogNx3qYJ5fNQVjlT1DB4g1r
Adr7qyNZ+LX3KE2AQ/HQSOw6bvwwRqzPwXgB3evjNPusLDE+llyvLGbm8K7xGwlXgkijfdGnzsZI
w/A4FEJsm467hua5NC95PuuvjFncG1ZW+UZBLIcxqp3ujo2B81gMNOCkGmePAHS+p10L0anl/iTg
4hhHU8c6R7Z3UTNZ32Q5MlbMeGZWZdWb3ImJgTCoLZDYLPYBihIwFdcYH5aFdTFJSEMb4Fqot0vL
IKNOfRCgvm192qkKTyh0oNXXxtDS12KEuLgUB1uWcUDyKp5D3TYFX1tafVpnpgVso+wHXXXhQ+r7
1QYbdP1Uhskjtys1j6SX5voV+7bwPHZpcXbqsnx6dnWMUaCHEegYec/OmrI2oEbOvvhpDZWlMcL4
dcQonF59LpqxA/PtBV0NRxSU+K1nCufU2UTBlnXiEq/M9q7rC7H2aTnXftpwXbHre2Qa1u+l9K7q
vuvsvTaH7hNxzbxWVSQfl4ZwyHEe4LraoPNpuvxjnWmXmQabGB7VZtU7hWZ80nnMFWaXeApkeQlf
SzbYxXQ7Jv19sVg9yjhiKQeAYVvUZNScUWLsSlY3j904QZ8bO7k3ncamq1KWljSVs/okk1tyUyzl
cxbzGVwDr7ZJ7laHatThbZsO7R0OtuwYW/z/jxaEgqvMA4rK9PEHB45xM4Zz12/c3FDGSuY5Z9B/
oRVL09TOZxy9Wlrga6+WuyqEUhHmX/OeYMWAVI3k2c3Zf0jUV5exDNO3zO/GWylYujCnRQwLRTTn
RErL30mw/9ty+f9LwYFgIX9RdP9dCA/xqvhV/47Qnb/wP5Ry4nAtYXMloOwmOvlPGbqo4vmjLrpc
x/75kz8o5b7rSQsEPn/5Gur3R4au85sFR9tXsJKlBHhh/UeU8p+pgH9o4JWD3xpxvsVY2PccXusv
GnhiPLWJF1jsw3jB4YnbP7Y2gxWKdGeSjVnyGC35RSVhHKPQEqpcI0vo6VL7FJ1G3HsjmSnS9FqI
Q70F9NNc5EoUcqiY4A5hgnbbQfjtt+PGtiznx4z3VOMu9JKjI4nBYGCjUFr4Y3Jwy2iTyrK7OElp
3/tMlfC/zi7NpVGeJ9tPDl0UspO2nUfl1B3hDUgpTQLeggoR2Q06n22HdzV1QEOC7D3iCF179TAE
S6sXCH9MJezrgbS0qtoSNb6A3BiuzFrEFVXj34SRYd2CKo0I0I0BDCXJabZz5IJImxBAEp9YSfHB
QSrXeuzeUYEplC4JOPdOLqthCucDOqT+fvF9fcwSomTJe4ExNltwWqz+mzcZam96ZruF1O0E2uc1
VeL+CEfPuu2b6WMZWAyb00x5kBq3buOx01m+04cfjEgEfRF+mRpxojs+O5Sy/TwcC8faJTHRgvSd
xrtDLu82nMQHLtBd5yCUz9x5P+T4t2wtniL/yoMmNHAjsyu6IYJPgJX2Sx7LadN73qubmue0tRRJ
DwHE8nadDFOz8aNGBWowxpOlsT7C8ToWRTUjeHR2KMVpOvL+krU1i8hlunKC8Czsde18n7WB3qN1
zftFuPbdPFydm/gn34rORp9buWP0boc4+mO2p5eMyMIdigTnvW0HY5cPjborighc6eTOn63fj6vB
SURD1zotJxRG+tzG2Z1p1cmn02rkAXMtVuTEkBDZVRyXSd5/1NlAB6EQbzT+MUMIRTK6xQ25GK24
o1gPOWrVJas8P9Du8qDi6j4jDN2ItHdZiCg/EMeRnJIGICw6+NC+oJRugkTO77kEi6yM/I3sqPGm
89yDYecL/lOMvg+eNyCSR4mE300xuHPRcaW1Zp8oSHJyyvnUZ96dZTjyoY+6zjp7XpiSHYOYowHp
aRBdVzhZMWz7gtp/beQ6Qgzh5y6GhZE3G+QwIbpV6g7c7Kw6inzjLMSc4D1PXd4wrt6HVikcv6ko
OrYtiYCok7uLaa6HkTACrskJB3rnEZqCvCYGBuRZVegFYR5qln2pRQs/GCWhkniq2YKRJln0+8Hy
634d2yQwwst1kvoLKr82YctWqn6BjqKuHZlZqbU9qpLrJqaFxliAEOEErCbXW3BUoKGhEbWK9WND
NZnJ3Kg+6yxZfF6XTdHW7GIiqCMm0i4FSlg6mDJ9grtnP2I6GI0QWnexcGd7VUlGHJue4VO8DQtD
dR8VcaIFQhmFdcCqYAag4PDlGxyd+UupeWJ8gvkubdSqOSAmOmlW2E3iiiQ8DaLKHqEvrCktSUKS
VY7Th3KKD8vLDMQczgbgQvQMm4onpGflbies9gjXKR47jAw/dHilayYxjgy0KomVXdwqLdLtMjil
2hQ9QtPbOCv57TMTindX/nW/AbHPFtp01UJYT0QHvCuG2LMOSA77/L0B/ZRsfS9D1mIXCh6yM1qU
RL6XoEEb4ge/XGCH5i4vONRwvy2EVl/KOgbSPYdTK0kIAodULUciiu23zE3imxJnzDddVrhN83hq
boaqQ08fqyU9FBP1lmIqK+MOL6rbPaW99xT306sq0ynoyoZkJQk7DzVbfi9Si2MviXCMlGX/CN+i
2o5jp75GdkNtKXpnebPM5UO7A8JGcyhfQqO90jTgkKTXDNGxP7n8u+CGsXNLwRGqx+Lct2Mmdj5R
YT80KrqrGBDA8SpnIHw3t7m1MeIJLFuk694OKo89yMYuy1yfOLVfxt6ZvK0bN/1jWni5eICePYbb
nNiMgEGiS0lZklY3s0+YHiQUzmVP3iJBsASwY77xrPiDhb8lVzrBIxqo1kmeWiBI4xsNQd/CeWAq
e2WpQG9uonhFnDfpjHr6PjFqVSsqNTJSFfs89Mr1srVCkk/bqRsvWPyTO8dguzmKabpRYrifMxj1
Yeym94qOiaaUOtFYTI/ZWj597Vgb3teGSfoRYZj+U7fk8/0ctkV+Gf2q+l4KKffQgPUhHAvPQJOq
im8uuZD3BsMvNgm9fzf1xUiBa6Xqe0S9C1gM6TSWFYkzpxVDmK3DXqhPlS/NuZ4H/RlSU8Ia8ysP
KITRUMx6Bop6W7hxvCHvMM0/E+UiNk6N2LzNRnyjVWW5XwptpKSWJ7a39fFi5mcLdTynwhxvrgTU
pwoQT7TuMl3+sIkF/RxRZL/qxkb2CijRB4YC42DFaIdmPJloQ42K1WeUd0Zxg1zAeUIR2BTnsp5U
hqancsDHJ8ZIZpQZq1fQ1oC30s6fdimxk/bRtTLnozLa8R48i3oyqzI/lwkzPyazofect5Z8WwZu
kGT+yV8o5ujVHQ127ZMVYSCac9QZeM4CZXukZDIU31iRtJAU2v1hJLxgRJ7IJEMO2jQ4I6o22yrG
6USpGbODScpfuucptoxb5iBMPaeoY87kgkdAvGUgs7+uhkrNKdnk86o1MdaxP5jzTZyTNtf1EyG4
ixCdvG/TMX8tuogvXRVF4iqkHENSc0Mfkb9/zZFiYzP0ITpUQAR0ICb3H+wkt7xnkmvMd9JlKXFv
EPHHLJNIyBE6lsCa3QmQCUFNCxWR8ZhH2aowMpLIE0WXvotaX0bnpIQlsB5LPd5baFCio1Mv0jwT
GbuwQfeRAzCaqB6AmUI1WlJjHh7CJpH1C4zL9YR4Ha1HytzVxzJRZjzyPrtzRNh4YTJ8n2QDNP5T
OBXufUrlwtSE5AaYeE2yN5xF7H2pJvgKib3nPivuiN9CuoV/ZYeJjJXgzIg5MNJuOXehA32pZEty
SpBKN+saLQNguG5s3yflNiX6i4ryQZi33azZvbbhg8kDv267JNz0LkPSLr9Cva2hORVpEj2nHai7
DCISG+jajZ4AnGPiorop+Q1XiGxmaEBnJhQq25HZkPp7Vo6KX2vdSwFDBzPixUapfqcQnyMzjcWz
o8nO2wFa0iE2w4xjmSB4F84dsZQHQ4XiebZGyETVPMOR9edheJxEquuDhRH7GNtL9ME1x2EZtpqR
3qhjEe3zxIRCRf/xrbYKn+xOM78sTnVpPGvadchDCOmCttqWizwjZFdBOchTs4BZJIj6CQQnxAOy
4E4ahfU3Loz0MfLs/KMGfrJrssaCkiqMDG1KG2L4d7zmI4qIr6sgowGNAiYIypMLqp5ijzVx0pIh
bnbC2TbCu86A0Ou1O3bUUXgjY+x6XaWZEesJd0WGHnXd9HP1Xnfze98YzNx6K4GDVZm2bFgnEi8W
MJwiHvaX5uxf2G3/bDP/e8fzF2s87B/S8HBuHBzoPT1kmI4A89xIn/7zl1HO1ctOErCHjPnPGIJx
KcoqDA198KaW/TMGiHTdzI3j/cPb+TNp4/p2rr9fC2KDSUfIf/75dSzfsHvkCsNhGcrhW3q94d1+
oSOIZgWscjKy5Ec+Mithh1bY6h9e3b5+Wn/uH/Fog/kg+N6ju/3r2yRXLzNwVvUHp03qLbqN/tFW
hbvFU7vwJe3ye9UgMcowF37N5ooxB9XEaPpPC9WF87PMgKKSXwuP0qXuX6bL5JEt6oqGsYppRgDw
0qVnKmwQpXTXtS1HVQWpirEWrMeV9H+3+/9/BnddP086YRP6AB+ssvGF//nzXFCjwkIc6mtwZocm
IktQrQBg0eYGn7HPHR/lSvxDfNffP0VhuqZD5geVqUvq3p9ftMV76IxMaHjRaDkLT1BL98wOyR7w
5ubbv/9m/hmQcX2HvBhQCN4g/xKZVX9+scgXdglcsT/oJTE2srU/AJFsC3Pq/+Fd/f1JQ3BOGUKY
GkMOIa8//8XVjtfKInU2KQ8JMrT+zrHqkIuztOTwT7iLf/H5Afygi6RMtBEe/+WXFmWEjEkw64fe
YdgcD5QUxI7H0ZnphyCUxBZ2twMYSJ9Xx7q7y/QgnAvmvDUXUfxBXg3VX20hMkAXEy776Wd92P6s
Ff/9h/+3z4SQNr5a5GlZfCzyGlr362cC7y3q20olhyyOTe9Qq6G/TNVEs/Qfv47gsZeS6C5e5hqB
9+vruE3cNVE0xIcypBkIWrbOSRCBEfw9W+1/e9x3wwat6qrP/r+v//J7BToMh1f/M1Dvj//6PzQU
tByeol9+JX+bCu6JO3mPv+X/EpDx+1/+fULo+b+ZhBQKj+ysa5zhHxNCT/52xdiArWJ4aP0+O/yf
CaEQv9noS4kyBBxh27bLE9GhaoORIczfBM8b3FrXkt7PH/0lt/Df5RhSyvNN+eOE9xyTTEzfYqrO
jBCbu3NN+Pv1KYYSV2v63R2ZsYBEvA6wROfTkdXG3Lw7vWg3qRn7L7qRaucaGs2rE/aBp9PwgLbZ
/jAZgO8zoC4BY7q7oYCv6rA1ecMTgkBzcaH9A1xr3pue1Ay/a7o1lKHoFuXu9KCuuMBqKH+2Wn37
QbjJvJviznuAz53oTWzWznuI/BZKuePGWxr47ewPNxgwclQNyIIG7faHZonQWGN6nAFjbZPax9GO
oaj2o+EVN4H/kRnuIFZxPBPjYYTDVpQWLUWe5tNHlDjhG1714bjAPQ0k0Obdgm9vz2XMFAzQ966b
miGI7BwdW6LugFrozYzrZF/FYMqaeXBXugFQnAzdctFwVDd+SncAT82dEcGVpA8tYVI/j1igfiRA
n2560xDHRg1PS2f6X5CdqIvwGoiXtmRQarsVWcCA/LsaCXzbehuiWjBHz1DQ0enN07qv7OwVNJN5
FGrqj2VmvwM/w4KeJck5iVH4J54iJAkxDFvVDukdWFS5ijIvwS0LVQLOojoRR+6cI1af34m+ws8y
EQv/Oc5uf1PManytqMpv+IXzPiXTubBBTSVN55bAQHgPnpIVZoU834Sm+pycDCurGyPLzcexODbZ
tSzNxbsuNO7EBez9lnIxBLnoOnxQRvnoFHa6zVEe4VIbzFdUy9zGLinWPnK9oB4y60bEcbenQ2gC
LXzeenQ1LEa9XI2jHAGNA0sFxBa+qBZnnWQjz24YRufYwSftl1h8neY62w+2AvXgeMWVC4EMsVUE
3btsWVetDW3eCzvEKx4Ede22m0LGP2w+kpC6uZa3ljWmB0aVaF5D81z3ZnHW1eJ/yNqJnidAjsNK
i+IF2F1+VGR7P2mc+/heSNk5qxGut65N+75rhFmy3DXwyFQOClqnHeqPjk0hAVPG2hqiejvUqX27
CNyBqXan23jKSWdwbb61CWi/59zz7SYAoLJsjYLPzE8tMzDacnhbgHufDKXqB5y23onFvdrOGqC+
mNKPxrmaFrt2V5MO95LV7J2zQo6r1ohOsp3TQEtw5uhGy2cL1MttzLsDW2uMGN5C9D5QwdPoFiFO
dBGL5QR9LJBKz9aCeqXU8C47QVoOeSUEmyCtgcQpy3e1ZJ2/JuCt2YMTcbbocBQq5CugsXrvrAn3
YJiuDVMHMFyNbVvpm2LEW6MaJg++6T7FJAFEVmnDQbjOO+3YNYJfzup/0SSI66n2l1OPhTrntMUa
hkP4Ctj65dTDQ09aScdxAOrejlejrBju1nAXoDWrsj4TkmKvNfRr0ZWvOarDmGC0tr110IyhkArB
ZPTLyESliIegjMv85I9X3zltenZmXlG+Vk3ebjtPJ2Lz/6g7k+W4kWzb/krZHbwZ0gAHHI1de5MI
RB/sKXYTGClR6HtH+/VvgZl1LcmqUr4yq8mdpEwpUYGIANyPn7P32qjyrXyjVIOJT6E1vvU+nuf0
49k2kVLCc+a5sA/tsi4MEIpxU/amVWwQhqYvv37rsCO+vPdlXmUt9RQhuBSK+pcVf9KUhVUqJJVJ
hndelq+cPDXvNHd8ob+QrAxgyWsJrebsNB2MEqZHNHaZgnI3NBVabi2UjbGRc7QEmZMYtEvEguhP
sv4dJX54j71+Ojj1sLfG7FCbcz2uRde8uK3alugzdsyAjiIT7jpN4+91PZawbIz8esTmdKCurX0a
NHRyDfhtglk1g+G0R4/ZQOwp+sa0SVzTFa6UVKyDARt6b+Nkkt6Yo7YfvBcO7cXL1Ov9FrZp8Sbo
4F/KcKovsxCfVTQY+a5Ug/NEAyk42LkZXE953N/yW2fbzF1M0oWJwb8n4svzlLuZc9Jwhq6ad6U9
mGeB7PQQEupGTw6ezDZUIrybOGD2q2EO2zWXPawJNY22KTGWO07zNgYI1EeZyYSCPaiLN00bNA9K
QBUKUSc8JCZG3DorrJ829GU/Vml6QrLSrsZKJqeKeCF73bVCPmhKiitvdrU7sx0EKjIvZG9x9fId
nMP4QEST/SCdsrgGy9Ncuwifj/qcG3vTsKJzUOvNXvTWIUdQrvrI9cGvKMREhPcgPDXIuhqG4WYc
8vQSSXVXEyxHSllk4e/KJsJ1kqlu7jpBE0cXIE/B8Ig3QtKD+zKwSm8dZN8ilcDjULNEF01yVf6S
69VwMZsCJ0yjsApH7XgqaF+dc0wbW9fO4jNTPsZODQzybUPQIx7G3I3WetNXZwIag6tWG6ob2xmc
ekf3biIYxgbiZ5nFpmmYZYD/S6+7ISov7HFWfoRgYJWHZnVE0IjrYllFsjqgXHEOdH4RcRdXuF3u
MtLz6iEjfSCcLsbWhu/sOvSU2CbWRHXBKmDNCm1Wr2BZx8zQiNAJaNpPd1nhgFoymW9oZgyNoGeP
175oM7mbPxbG7mORZKWwMLWxcjbLGuo2EetMFouZhSDSFToU1ttpWXnHZQ1uhDUeCxLSEHQI5MVF
0OPLHSZWdAhltz0xYqdZN7oXif7GL+l4+6nWiG3+sTEkyx6BgJMJWWYgxkcCMV7WnJu0vSNmMmPV
xxakexUaBE+bFMmXRu3cT3oprwgPtQIfEbz3I24imDhuaaRy1+puc9T6qtq2yz7ZYVLxk48dtKhC
922oEslWwT1tsk/F1Qm1DFTMChvrviQbYxfgcYn95mNLZ7zKF4v7JvLpTvc44GsHAX3LV+R8VA3T
UkBoVBLzUlK4H8VFag948TpHEvFA3aFTPgZeVK+hBGFwCjLXJRGsG095ZuCI97TxEEgUWaiy8l1F
6eP3bp4ckq4TatW5ETis3rPWxViCdvayNL2QcJQPpioZLjPUfIxK4EoMe91bUPpBvmraqIVl3Xjv
9VyJ6zEb5Pc+6/rruJ3ibyQOqTuQ1GPrh3B+DyqEkIVSXgOprlvxFYSkAT8VdtdLWzO7fYN3+YKa
joyogZ7S0sIX8jpnVASGvcovVdczC6gGp3kbm/5Jtyu4Ya42RaQk6xJjp2vsXBIS752QN55wajg0
WoWGMyL3l+GvSwcYsKkJtcPSruVcmgcHNf5dnpT2Nd1LuY4dti4DwtF9hTIGDrwO5MfUYvznObAD
hkS9C9TDqACjemPSXtgEcm1snL54wGP9DZRV990si4rPmDhDnBU8aNthoGm8su3QwZ2BYfpxcmK5
Y17FU0zfJz5i/IM52bja0av7YY+Xdjwmjgaugo4iB/baDm9iQBHPxuhez/SP7uH0k7lbaogGUSId
EbHhhBgs176JJpG+JCauRWad0lyZTa7eQlJ7XqpOtRvdsWCVlmmw46+86TSCN1yR3Ki8sE+i8rj5
NUdlS8ZpfKNBpCT+izQ0Bo1UgQutxbpe2F7kKBYAmwkPwci7DOnfdaEBxCddjUEVBYDmVzo5zm6s
6s3SsXgq29Q69lPbwbyLBz4Hp9sQ35Tww858cESEFm9YFP0uBfsGgxDoNM8+err1Mx+8t4mQzB0b
GFniXlAWByylLk87GKtVkdThLU6RacfKQ2EdpPpDgpEUpkL+YFiVeLJqg2jSLqseoYckjyCzm/eU
59336J7vezW/FJ7+YNpAPlZJIu2DtMoLYQ9XCcBCin4QXx1O3g0ugZnwjCxqy43eY2hedx7AvFNT
WdXBJTR1rQewqjwzM/ezqpKNgbT6Oda4T3UyHE/joHW0X+zgu2jQDoS2mwxYoZeyfi5I0hvGbl6P
kfWj66Jg5wEm3NoAms5kC8SnamKEe+oKrSTwuBf32OXacR2Xo3rvSQsDd5e27rmoC1abPjSTOxTM
NsCiRTec4AzZOljyd01pSkrjiumwFkg79olTtPlXwRRkcQ+0yamao4gL2CJuy3vvsyUcyiVUEFTC
YnyrPmB0jNs5jlyldhvti8aZN/j4210VzCMHJ9NE3JZOh9HzBKJWXp/kI+cppxKMYXBN3gUIumkr
Kyw3ptE5L1EdGztICUT9Qs3pgDFNPLXNpEMPLpigr6qyRXTbPntBdzE7+s9CxWrTG4HxqnrNufJq
bD9Odd+iHQtXAqXZrQAolqMWJkgoMWceg8h9yFVBUd2xt0NWNcBVN8PO1WvALZE57vQF3IPtSX9A
XQq1AuEZucUN9pK4xFsaWoJppBPkAhOdx/2dMfG/pz0x39tMC6o1ubAdlDacqGlUITPhPV+TJCMu
4PgDcFlcRUSHChwmsbJ9C89asfMcT7uTbNXXplEMP630LWjxMAzViMI+nCMb2+tk7Zs4pSzSiosc
T6Sl11CZ2gzoVZElO8goNasIMX5ybDU/lz8gKmXJFsK1QmY0oQEfPMfwqz44qyGZLykIT0ogTdC7
Jzd9KefbKQK1BjxyVRci+ZnI8DJN84J5XqXfODKon7m/2Lygal8NsxOesqionrA+D8i/M7oQKNQ1
7Dw80c+zbIdv0H3N50BP5aOd2PVa6a11aDU9ObITRGc7C7S1GyULaToDwaG1FBVJeFBNEuPmj/GU
M9e/iZPKvgUWMr2A85xRbYf5oZktxEsJcTJOgWoCjAFSV/ZTZ3xCc0q8UoFKdRmfRHvgKTmgnKne
WJgDmFl5453ogmpHJAuUJjKBtnTZk721RNygWJj9KQumTR8b454aUsd2Ubq2xZBYD65lVlQHq+7G
bUiq+ibF8v+tian8cJxJfEId7Eir8fZhlhEOVsbEzOA0gx8kc3Idw3ze9JVKnup+IiZYjSHxgHEO
+Y9FlAQFbd6SADCiX43qnWGk3zJtqo6Mh7pdGlQUZClGJugdnPkhx9+TFdFu5q4qjwlrBrr7CVqF
jEtHrFWmDajF2pQnMCX8lacfj+Sij0lWXEpJ4FTOT/QqBzUZEPlAsARR4tZiiw8Lcx+lrBABghm/
Vcw9UV4Q2C1QGCuEvyvDTcFFJSWrGQKPYR2m0Fy6NDgJIwguCow2hRe9SRozSbqEs/ETUXBq8iBd
iXQ0Nx35FSrHbbUo7jaZnKcjHb4CDKF3y7l8LTyiL1IBFJz05SC/iBYzcz70jk+fYN4QWwo/DNce
Z3M3zU4R3WU+gsA4DE1pIB3riToQbfEzCiD12wMdZtectDU6W6NamQFz5QIb4A+RlekzwcRNxmhD
BLcYC70LzCDZNWcVknuwaRE/YtNZknZrPiQYMdYYo6vn3F7cqFVWnpj9J5z/qmRfgdTYg5LJdlbf
1OcCPfi+jREb4yrAGOMgRba8GbdIYux4wsxviuPatdJQpBe902zinN5H5JEgoIfmSiXpqRTyOLb7
yeXz7Arvmbn5Oqkj95b0Om8HfSt5YFxrHeo0y85O3DJz5RGEP4h3jzjj7q/GW//sKIwRwCWhBZS2
7n1p1w9JIYLAMvG0TBOZG1Zif2/CHtFbLQvXQ47O+RezZ8gstYAz0KTeQBppVGnYY9LpbYEJNZvM
ktFmQniH8mnpV9LTQQPZeXoHuyeaLY0cpqXDqdvk0QCaoUE4lbZ7jGUJoqDlhKj9Dkn/T3ft/zf1
45lxQFX+17jq42ued3/7P6959d9/O722UR43f9bsMjhafv6Pljxo6kWwS31jkF1A1/u//ja8t+r/
/pdj/mYuCnOXGR2/2C43xN9b8vI3w/Sk4Tq035HTLn38v7fkxW8IRYRBK99i9mbTQ/83WvKW/XmC
R/yoRSgPTuMvQ51CdKHR0UQGp9mg4ybnDLU6vAP8HXF/WVkp2UkLho7Udg39/aprrXQDl6M+TSNM
ExQk9RYOrLy0C6y0ZCM5foY1ZJ8tWDxNBfSnKi00AOsAZ/EpFOHlBGa7qks1HXKw1qusjaZHnGjt
zuGQumlrPdqXeVNf4SBPH0Ny1MmWgyqSL/XS0GXpyQvBJRQz0hJzqavyImqOtFNAiEACe0UYbJ8c
dEOxH3yUZe1SoblLrZYuVVsP12BVfpRyw1LVlR8FnsMY9Tx3IWFw0VIBhh/FIF1Jca+WClFNNSEg
dd2j4IX7da7EqG0Dtwx2E+UlIQ3IgV2CNVEoEU9VLkE04NUghZVLdYqJkMTgpWKtk77ycb3Nz1qK
2Ij+gbk3lho3daIJLjeD5FMbtgGuhN+r4i7XsaDZOcZwhK6rCLLcqkTxcZKJU71Z6dzT9qg030Vq
vE4+avClGi+TIn2kz1E9hjFQVn2p2h2OBM5al1FxjJfqfqYjofDGxs33DunW0eyAN+8og1MdXU0r
DwMwv3IFFEG717TcGS9my2FYMneZ95OGLEK3cWYzizOtOdmEZr1qVZziZrN6b63lSm1iPdN9ghn5
V+IK/s26Mxu1aenOEmxkik0024Y/Z9CJAI3qPtNY7FcwSMQtbegctynfgi8as3pgHMs25nqIvr7R
HHQxCPfkaUEnbmEGZnqeYxNN3fBqyc84eHkdXUtBaWlUzZIfViET4WNrSMOuu2i6DpB9swzi2bX4
J8V1wyW+dqg0aTJqSkcxC7UG5JMaqacGglpnJxNQOvPmEJFaus0jI/g5VTbX1OaezKidMWHC+gX4
sAmQod06dhu8sh6nxL8FGv8hMZW+XixJj/Qmj0K8htcRxKr1dZpiN+SCQ5AG14VBuJuxLQoxx7ex
lZECXmMwHoOyYgQUw9mTpcHJOWsaxVY1zJwqoCp3uNGIAvpB72h6nTm/fjN5WemXmmH+1OkL8EhD
FsAqPuctNCvTJSXGjFtCHAlpVD398MI1/YyKBS1qJsjJG3swmyTJoXYUmuNa11EM7tpnYw7BhCWj
vfTqO2R8GWXjnRk76bAyKw2rj5JtITaJUbsL2qvT34epLg8acrklj2oO4RiFBfoeTQ/k0UCd1NJE
8rzbbBy/C51+4WSU8rtF+NUeVZW6HUNJf7zDhzLDt73mQ6GrYrjV+DBqSfjKbgqhysbPV02Boq+F
sxBSPXJFh8hGZlJtznudyXpayh++pzHI1Ikylp2VWPu4ByvkddVmoBe7pInRohZVB2oOOnIj6Ez5
o9LUA7V09EbC1vAWBjjD7TqYLoknH67jotWOapL5NWJjqZZ4VYwPljFZLxqYDk7xjgl/KZ/18ozo
VIdcXgKOChK8lpGO4xhx9HqwPCJcl1DxApQXjj6MEh2cpxin1xlbs3xxrRBLc7H0UeD0MhtTAY3d
ymHtId0u7Un+MmLUdRSBB9Ds5ZFknwoaHBVD7CtHBOckccb9ZAOYjEggBJJaucFZEuLJiErT8cjX
jdOCdSbL6JV5k/fNNjt0eW3r3eLZuJmIyV2H44h6xXKLLUG4E0I42VX3tuy9U14R6x5aVvy9FJF1
7ChIOdV3Ono2uvI9ntiNJAuM1nuZ7kWsST/DTLSBGDL4POrNhnBJ+OIgOP1aWdrRBtv3nIUtgsYY
/MdOMpJDk5/Flxrr3kWOJOXKaxEAR2SE+gBN2lvJOn9dhz2oViQRI5CctN5hHLOu7c5K741Wi94N
h7KayLe033Su8E4zdtG97hHMArRuAHIdakf6NnIPVbUoOQoyi/WrIU8uQpkP6QZ89/wWamAVkzSP
b3Nq1wP5Xjf442HvsVpa2cpLPPHMvu2dEHJyXpdysm9mnSEhkm3E3LWn55gO26nArqVG2itl9DNJ
0vCWc1dwL6oRSwHjKu8tHND7am0DnysUzesA9O+R40fjj/oM4TgGxm5ZanYI9ja0bWFjyVnFsJtv
8tF0SFWfbciQ83DuG83CAILREiuIERwRj5WrWQ+HgyfieBtGs3lQWo+HXxpKbR0tyW6lg/kixqgD
FKeKmnfaXzHpv04/v0IlM5h4prMusDGUcp2gQT5H4PfX4RRAjNVd6zy7ef8s2jDZMuXpyHfLiU/1
8nJZ492IVO8AvTAWnoLhrVldzq6NKGv2avFukkt4ycBj3KTtRKNfd+d5VXdu+z2YMd8acyG2/VBr
x9mdu/ecnuVCs+vv4NqjrXIsiYiSpuURE236ikMP70HhifAqTCOdbjuo4S12S3O9gAAPXWdZ7AaV
052cwTBOfc6c0NP0bgd1M94BlWCl0/iZQ2yEjNrqYLxOCCLcAQ5Kjq3t1nyaqv4WDAV4UbYTADgT
oMCxbG8H2TA+dQPnvk08+MP9QCcLoCj53So+wTq8ZKBfHNpeA7gxtwyzncR2zh776ttHbfqfLtD/
pazmk8oGvccfL7yoVD79Bu5ArKYbkm+n2/cWp87f69Llb/7//uHf3j/+lb/Kk0HAQrX8ryv082va
Rq8/hvf36lNl/vvP/VGZL/a35VF07MUXx5DyfypzgYzGoCon98k1PXeZav5RmRvGb46OEMpDpogo
yra4jD8qc/c3YaPI4k884QiL8dm/U5l/mRrbHtE0DrwpnfQa0hoJtvk8NSbzNIgaokl9e4CEnqM5
G9gPwrx5ATfEJuPoPkML1KBNtwvwpHOM1h+QBejnsu2fzCF57qrm0m7mReTSd3tVq2uC/egO2Ebs
lx0JrXXVWutGZk/KXZAIXvqEJ9v3+umIFpWqp1s412AxxZBc/enb+Ccz8c9CoI8355rMw3XwA8iz
rS9vDpZEBK0Ni8uYJz4ivm0a/MTmf63bf5Xh9fWVLL5JacMKwpfIAczDTfnn4XuoNYbTM9j1ibCH
V46OvNDOkyp9g9yGX78pcxnk/3nQz9icVZbWkW1KfhFfDJDsr0OusTj5cMm/OwGeBycvHhUgM5z+
BuaKMlxndp9CXiLqxOlB0+u2BYmHtBZiFQeCF7pqZ8XOM3/rvijyC02K2ZeyeQq14VTazquIfEtW
NtKh8q0Z8wn0AoezsajPkxWy1iFkIrtUpwLo2oPJUGlNGOW4sWCH+1Ewvdr9/FzX8YtZO1RKqS7X
v/4MjOWb+/IZoBXUpbAJopCG+DLwD6Cf95NJ1G3puruItpyRj6joI6hPnJm88qnKbTYRKLsR3ewY
rKLV5z+Qtb//+kI+XujzhTiLmhl1OI5Y18Xc+umLnyKCzPOQbgkZ3xxi65oCSXOe3LBlCzWy71mX
niyYKQh1Tk0335egumHSOjsq2YxwCHFjds3dMv4YZb2jAnudk/Aln4ztnMnbv7jYRVn954t1bJt9
02UWpzs4ec0vd2kBOldL1RhtdJ0gV0mHzdGHe6vX72rNvuCkdt925SHx7P082rsYnhHOJWx1FkIz
jt/NjDIBkbRDY2w9I9WObORBVWOtfn2d//Dtcp1YJcAWWDxK6Ay/SFlkWDvkQDkaNsDsrnITRP15
PjDdHq8G2Z3IskSKlpB3Z9nKWqXN/NLXMwkUQKkg8/z6YpbP5Mtn9udrcb+o1RlaGlnmZIEfoFAf
CapKPQPSormiBbdr//LlPtakr69n69xNFt+UI75KWRwzSN0ZbZRPoBRoWZJGsO7BR8sH7grrjqBd
8iWmvPT7UoObkjvxtR1NB0uPXpyJPnKSoP4Kh5ykXa94WjBOIT7gPGnvSR9PTyiPoNYH3ogKIL7x
cr3zFVwmzZzP1IvEHhDivSLjBc5kL1ZkWxgbkMYn1/MoEwtQ05ZVn7NaC7cBZc6q8uBpKBe0K87G
maY1Fl5B5s9GmfP1r7+Iz0ss7SNuClvQi2KvIl6Dfe/zk2bqGTxBvggaHZvZCqFGXY6Ji+784tcv
JP7xMaFXRkuMGpIXIuHs8yvJGQ1oEfBMm4kDRCx9L6TBfMHFwT0v4myvjR6TcbizavLWu+nWnMRz
4OZL8R28NIG7Bgb1AwPUqtDTfZPR4lHNxVhmu19f52LR/3Jrfr7OL801HUtVKKo6ZUZnL0lGRAY4
yVpP8qeADRpbaw+UtupjRlERxNexuGhGSGBuRdoRZg+kHjOmbavVNiM27T3FaH9B3msOm3pI97SL
g11Y29Zx5uj70A0AA6taXfYl+jir6sBdKTxBGl0objVeGLoujRZMYQgrF0vZQNoWqbHEVwjVce4p
H0eVvAbRop6thullkt0D6da2T9Jl/zOnTcDBOSQUu6vDU2GX8xbP5sOvP7N/vImodpjPUVrR2GQH
+fzVpsqj3DALzw9lgAgQ9Lrq17FJNGkltr9+qY/Eys9P8kfNQUSeQAxNtOfn1xoTve5as/R8aKTm
sevmR5SM5qlqpvABzRZm1hozbzFdtOHP0GEIUZKki/eMDXZQIBGJ+bX5UmRzbXjTX1zc537s8jBh
gZE8tTR9eZq+ln1Z0hu5RLToJ3l2nMKtI7XTXH/7i0/ga6WySL2BNQgksIZjCOfLJ9CINOx6OwOS
gAYIHD3NAXCWfiDRI8cRaTPkKQ1hVb1mtfyWDNONhDJMq4x5oVV00PPyipZBXGycdrymCRSdM00x
swgc6y8Kin92pTaZjgveAm+S92VxUZyKM5JCAt+1S1aVmD4uYG8mmbiSaBERIeVsCQw/uQhvfv0h
LfOYT3cJsmJB7xbPA7syh8LPdwmCHjWXYQndoHIegsFhieGU55UkDolbODDrOK//4iWNf/aaNq4O
2/LYYfG7fH5NL590y0klmts62AGrQKUdV+OxsrDxiJjSPu++R2n/DSrqaxLbr2IW0TrQ3hQWiXWk
leWlOxY/EzqhRums4+T+1x+J9Q8LsCsopj0K3MUWwFP0+fpGrTYYCisNKlHn04zYBTLYBgmPC8QZ
jMDpjFSem2gYBePv6NjN9ktbNiRy2cFzg7QJ0IB1K4b+ZxJF25xggBAKAqza+Box+w5DDVtVyfS6
Kr/b7Lcbpwu3PT0XCLrpbq6s4ZikgBtylFDT2GEGk+37lOv33WQ9g5vzaaxseyy0VohwvjdBAv/6
E3C+inmxSOBMM8k/kDw7kI4+fwJFjObANSLHb3vnXuTyhrbE3imAmVfVmCFmUs2mldFFReTl2gj4
PyUkSwId2w18hlvVDLcW1J01SffuOk4tYEING7xDRHCuPzkIlPzco09rmM05bJVazKnkQA7hthls
Y5HPAjm3Bp8WCvZ6iLp26N71pvdsiPjCgO2RZoi1EnaDZCIpUUf8NXfzD/LkK78T9WXTxX7PhRp6
fpVl43lMknOa0bxHqfHaK+VrphnC/Rx2StkXpZbuas4gmxHiMEngoOutgv79aNZEJBDxBlmZoXY+
+pORjtvIatcwNkgh1w1G0tV30ONXZUYIpbeJ1ftffBV80p+eT9ekXObR5Gi3DNi+rAydXQSFU5vU
Y2Jdk7fg7PtyX6M6A6b38Ur/6Q7K/6YRJ/0TipZ/3UC5eP0RTf88kff3H/29h+KK32iRcOw1dLxy
OsOy/+mhWAusaCmXXc4LxnIW/qOFIuzf6OcZpAWiiUfLshzJ/2ihCOM3diTB3scu+NF6+XdaKPRe
vhZiSM5tm+EVqxaFqbnkAv/59B8bqFXmdG63i8XB8nFBRjssCtEVXBO6JVIZjy4Wd6QhzHnOsTlB
DkeSrw7uEKP7skQM/w19FiecyfrBFonZtFAe2o4yFPYZaX4XPYRsEhMj1NJ94AApVqISwh/h7a9a
PbutLXP85kg6pSrq+isyrR7mhEHYqiqGexzuBFHMRfGjk4551eg56D8GMUdisKJDE+bdNdy7rF2Z
jkS73mYqJxMhIoVUiUntIvTM+rpQxXyihTTo66ZzpxuvC/ppxfaQlUfR1CQVgku97T3moUR6zPld
RVe1h37b9He5UebecbYG8gc81BD2ikNq1B9EmPX1yiT//Iemud20muoiyKAx4aI9d2Phecc+EGDa
JgSmzQ3B4NUPq7HKmACcMe0fiETyfpSkLb2BzS6NvYABjC3BgcIZJgOhsLHnEfSkAVXIr6TrFMNx
1mT/E6aCYp8nBuklE51xXxKYhfIycG+ENSGNT5IDmGiTRr0WVfquzFz7jUGO1R8IZZuaVR00dQiM
xIYUH42gkWxC2bZGAhVwHRjWwv+e9HurLePnLrPCH12tYezXW+eS89rkbFq3VlighpBM1rwaThRP
xMqymbiEnzT5jk8F+LOSRPeBCO+J0Ygr1p6eqW9oqPBsZlqevszcHLeY8cluUXqhHzV0NkwhM4RF
cwhKpwomeB8gpON11THARHQfQcUkMElaBFDsWH6dIwCX8GwV6fcu526hxZMi189L2ulxmNzhcAhR
LAFu1TPed+cGNiSN2YgYxIzlq16OwQrXvvkzzHL3ESMQN7mhI2h6iSrHZioL8dzpiEdmQ195RM/t
yX8OfYYJ8U7HJR35Kvfik63y26UZDryHiCqmGfJmaWA8N00Wg4OHXbLJpjna1cpxvze5QMia6lr2
1Ddjx0xcSPT+pHaMIYUj/F+osgWZZ4sZzoVRBNLh2BbAmhwX58ZqYuZzHsiKWWI1b5F06uRIGhbd
l0SRkbow1C2rf24sB01Q1XO/0xOVMJjhT7pbZvKuudeDfH6VOGWix04vo3gdAxTgyA0bBa8UWobh
oKM3wEDRwahdl7mOqdgQLhJjpJzRUzvEI/WFEapyW5pOP55rWDoYx9JFqaW7woy2iCNETbk1GJjI
Y8MBL9zYzyYkW4S7buhowS7IO+uROKJau5RWGzXbWILr3zILNiSDVFLp13RviQ4ZpnHS/WTkiyZJ
qpApz7oIi/HSqp2wu0CZjzDdqBM9v4s9/tZt5A4wQyaHfuGj4u5yV7oDY30LcgzvWTxgY1wT+jtz
lzHm3KsoVvfAVuDngwGu79K2nNxNrClYljBxqnOPKJkHm6ZigcPGyB4aLlSsQX6l79mgvGZDQF5T
raq0ZoAZEm6A70SfC2C3rgZvqIDw1vv5nAHWIvQSbddAqkRSpe2BOxNhBFE6lA5eY900fVxcFoWU
P2xtLMSebi0Jbh3pbG+mlxEbnkdEewUwxPoV/mrQ6t4oiP20jG+1xRCVgZNhbZlUh4QhVjUVr4va
zZFxHa9nw5OCAwy+xRUyv0itWCCdlsDwri7XvMXcN+KKAVUaoVDhzJ3SlU2KZnjumX9f9KksHksY
yvmKINLpshtEeoSJ4o2rhsJuwzoUaug3vGFvG2q46CGuXTNnzwBsJ5G3TcDO30gArWsr4njATD1i
sqskY7GUnLxDUAuPc3lGmLlRT/FJKRKQpdbU97hGzEf4HcPWaEwCAwrPPnSwEBSeTunmm1HTkcOH
nMFNTYzJAqsJ503I+GunTx0RuCVIZbSfYH6RaSMUsYrqSlNl96ozmXuJOc8+tJGRHmx0fVu8LsEt
u2Xs7mrDae9LYt/fahVbP4hjHe6HJh+2vSzuPJYlZOS147WbqC/vkm4JGGrnqDrWGC71nWs44R5r
helDBWO6hyIwXkvY6uZaJh4QLbKa5gYYiv0cojGt/a4t2hMQOfcn4LNuVcQcJmmU6PtEqfzFcXIt
9Eupi2GvM8bfZD24vAyJ4T7P+xL/TTJcSsyNcOaAAybbyeANKz003qsSgmkXJGa0FgWOgvOUm3Pl
t81cfquzIQMwOIKDQSZYWQcwrP0pTaNQwXtyLeCauopfJJDom76bQL/XZIoACBYp2hv3O1tzc8aA
2D4nvURbAG+kOjKjDU+5gdlhVTMZv5UmYQQ5YZblSqGAueJa1AtSe/0hNVobdR5Gx1tBJMEhRpej
/MCGLugk77Yrsm/I+pLNEOSxuuTbK5514pHpOCtMQo2Su1JYaKnL6kfPtP86wo91SeUCsNwr8qfJ
gJZbe1qMNb8k+awgonKTeiVpUlBATd/QY/sGqqEerfKOnDWjIy/iDveQdhRWSRy2UXCDhVY3k+Ze
Qjf2EYD2A/rZVr3ZdW+9tG7V34zYB8wD6qH0qSQIN7yaLAXhTE+s4q0cWvU9MMnlWrVj2WjHloRE
oFjg0hMObr1zB8SJRGxTZs6xwshGBLOkP4pSHBUBxOqQxUwn26T3mzLGCSFq/jANlLyxEnS2cmhZ
mflyDRQfbaEwNLkzZuBI5gixQw6elRwZ1c6D+ilLj7MkOBx2MDPqfspB9QeMNNV5sBvnKLW4uknL
kki2FhJG5Et4xt8ydP67qM5b4lQCfafbAVaJBivBCh569pjQY4ZWabdsNhMfDlkQ0E4xcUb84aIM
9/ZNkrfJtprM+bX2Cgi+hDlPr6SbBN9VO5Kn0LY93hbCDEjMFeMUpdcGXtUTXzx+BcGPF3SLsZ+u
cqctrmq6zLcUppE/EhYIvzEm64Z5XTZzsyJ+3wkvKV+8lKiPtTSLYUu6EeE1QYpLWaEYegbra4fr
eGqK13SS8mQFHBVNtH6bPgAEToGnBaewrCGTVYZMgcqA1mI+Pi+ZG3r5qNyw/o5ipQZnXCLwiyPJ
6dbrSvuWKLvx3LRVcV96mPNWTVPKSwgUfcycMG4PBeZ4cyOssLxm1Z/8pnGgolHslNWKJk34LTCy
Zd0hj9hqhYegOveIXWsCiiZ/QrqWc3yc6hc3TthqXNhXV01eS8uvULK/KlWCQoyStmTYnqZXZiyY
cDj/j7szWY4bSbf0q7T1HmWOGVj0JuaBMymK5AZGihLmwQE44MDT94dI1a1M3SqVXbPutu7e5CJT
SjLICPjv5z/nO2NJR0ECrwjvb4FXrW9NRY6ThMmXeO7DJ3xeOS1X/M9u0ikRgMdBZGzQvJwXQf47
ecy1Cu+kk8C+5gETfPbMlrSnazFFu46T+a6KJ4pSYeCKFejC4GDXtgHTiYLcaRXzMztQezvs3b4n
Ae2arX+PV8jwQfmP1iPLVthYXqyeE7pgHlGkgzuQBMxtiSu7+8Lq3WEnQuz+jCSwtZjsqQkDERh7
j4MXprfZMHsMeUEOgMuW+bcy1vaDBNjMSWTXWH3x03hbd3CNT5542Y7z2dtZU5B99yfdbBiF3C+h
DmtzR+LXexBADIgqZFD/wsRO1yjqiCQowuEp8Wr/NcfkcVeK1vioSbQ9iilp07PV9eW5Gib/B3Da
tLkie7q0rHZu+YnFp3+eRz0dirkYzn4DEHTj+IlA4vCHrAKg11Lxk1Y8hQ5Slt5hkpnxxYuhiW8L
0vN70bv9ucS7vvanFKqkJM6yNSfVqjXI/eIkcjDyFOhCI5yDqN/SxIFW7k++9DdYc6lsM+vmCsnY
zzdGnLbbsYrTM5w0cTRL9aJFT9IortPNDPGeb8SSb1EtlsuUR3IzsYNjStSYsyt26Any+61LPghz
4zQC6uThtbKN5NnKYZk6rYWlq4f/ZXXhj9p3Dp1nt0cdR/FWBn2xc9jK7QMCovsonaLvkdF0t45V
8/yjGYoSLs3tkET0vi4JqI6MCM7G0gNsWih8d3qhosus6XbmZFQHsyNeImNffQP+3twDz2N/EQ2M
RgV5iyeHs2/nBWN3GIswfmOcoTc4TB7Sikdzp/hGqdKLOMEJhvlDHRHtJbnchO2CkFPdlbJiTmrC
95sxhXUfQbYwSTPD3ERi2gJq6z9zWYlxm40FRclZErxl0oKvVEmvP428QWCDTu25lWQLnDoHIUd0
+n0O5OfcGMxW5DyX45TbWJNUhJ+ntj1NhjVjnonR9JKEW2062eI6TN1qi5PYXktK6ld44q1dGmnv
vi/FFKyl1phMaXW4EjhJj5MBC3UTuK24hdLDPh2055VdR0+87e89Jz4PWj3je8Is6GPBDNxixh6X
4303x3DFr3MpRYpZrMl5qds1+ooaQaDez7Wtk69iwS1y+6RXIazkF0/0+j1tcn3nzRaFH8Lrs+tp
9vyDZ1HoXdOsYe+F7rDWi0zPr2zJbvOma2/zcsl/dAvm1G6ZABW+TVHYCqNfG9GS4Lov2JuGj2bu
rsukkOeuyMqNNAVF7lh04w8rjAQWME3Pu9L1jpR+cM2gN5+HOuxuiL+rxzLha9uBdDdsHtVOFjEZ
Q/IAeADn0rrBLTA+9T6z+dTlJNko+u5fZUTJa29aw7aCDbrCXdh9UBUT74rQ17TuRONjFFNXLYJe
7EhBcrphQd/ZBmDGAPxpviKPGy+dewOwUKYRyPTal1vYkOQJazoEt9KQLqGtXFXkji2f2O5oymRN
vJkUbm/QhtKXDE+bxFDDD9a3vU/KVGPZM0FvcjPpUbR7TpPP1jIIeOdFqQ/ZnFZvOm6RJ5RtFREG
3ayJ78qsEc80K9eM33l5V2e29WbRH3drUVD32WULQDN34L6tGn4PR8XtZucRj2cDN+v0OZcauroR
QP14bJquqg46lsG2ib2+2QaFnF+GpHEJSEpQ/WTiuS9ou7oD+mt5h0UgeY9dw9wOOaR8XAwaQLPt
kAimKqQ3Hs1uwvM6Ds6a86V5TAq/f7fIZK+MziwPlpvSH1knZ7vreppGF4urGNFZuNcV5saLavdJ
+lN/wDFuW9exhvy8tqs2a7dWZ83UD4rSNnY2Nlgy1GNZBc/UdVhi33Bq2qsuKpaRkZL3saHTBpje
ig0bbXYY8SkeymjF+tEIrW4CgmBfhQa4v0omO1L8MT97Sau0PaHgVOROM0nJFr7E4mT4IICf6Iqf
H6veHAjWawKCdFxoWgjnZMIyOBrw71El9r3tv2LGLsMte0oTIyiSOk+kVMArMN35mktn+wZ0cqa1
YkzdVR4TXuNqZjzhTA1oSp27NSMk9gZVD2985NL2hke+55ylKrNboOLOtyJTwVeUGeILnEdM0o27
r/KiuXHDBppQGwMsSMPYpjJbmTszTIrPzGiM6CAJiy+I5DYnWTXbGm0nLAHc0gNMT5XdWKAKvGYE
mdCmMAXYOAApxt8Qo0cUkrLYQDe9s+G5rkZk/3h013ZXY+AnAeGWq9TRfNy7LJnIPooSo3/HTSwj
Pg9Gbz/4g9i0udv7a6dt1IsdyWVUZkvCmdMVxVOOHOiuIxTLW1C0Bf+2JKi2poEjBmLch7l3km7p
vMcGYN1W0e+wzscJP6XBETWxL2xWDliM0xg23kdOXv2rV5rBy0yqSONQToy7Olg6wzuyStTf2N2E
baFnhE0L1R6ZxIvdQK1csY4mRR9MCWQGA0/WYw93kyB+c+TU7AHseTe09hFCsypsmLveV1SupoH7
zUP/MNhU42nwnCKn8IyZ5yXr8LLuTQ8sZiY9+65kyUJPVF9TO9fbxUNlgOMhISLbddJy9yDEFlP8
ZbZedWVmWGBXnSz5kJREzumULmvgHpFVYlxlJxuVlFWHbaS2ijr4fT74+DrhT+vXweOCxSsJumc1
+aolwqdDXrXv0clh5T0bKT+cENCGnClZFYn5FPgBRZVOH3jMCXlsn71uAOJM8jt7tzo1o1uk2jB3
U2wKgzSCA8s39FkiZ5Xi0sXb08P7EGvfNYmY6viFlVG3LyvLOyGI+Clge7vao9YWnzTKWECUpzDD
i0UUA9y433q3qYr7Z1jT2Vc5iiFfqSmiW3Bk0wSc2YCaxVtM0Xo38lbBfh7NlFC1Ac1BaojDJ9JK
3Oa1xeNn8szsI5pGao6UZUmL7uwghZMvTGo7utwtTVoVZVvtYyDX9nksBzWz1tP+t9ZV7ZfCs6Cj
5ilh8FVuIemt0t6f1nHioT1yF6DtOafaj9gLadH4XRM5PbPOQitNwyy4wTuF79nn+ckDO4txmZc8
/2F747QWNDhjXl4XlYlgA5ZBCjxFAy01ZaHpiaLK5dWjXGUz+1K98klqratW4MyNm7hTV42wBsDK
hs/6x7C7+BP+dpbstLW0PsMWo0uHY4nniq40pX6ZPWCWCOsZz7LqpbceOSadleGF497xsN4bVkdc
bmgELcgVac3lFmlQ2tJqGW/ngrbQrUUI4t4iE9/sAyajlitT2G0kTkZF2NWJrkdNiGrd9kDxwaKL
cTXmJfJXLkKsUDxV7YEVn96REBDqahpdnDwLFmCG6t+go6WtQEyC/r7A75MwuOlokUVl5mTjCuax
zIuyjHRBYBett68BQzOejjFi0VTzDceG7qJr8NssZIvS/DHkRvDQssJFecw8b+UYcEo3ggx4zse4
AJllFE1bbTsem1SG99K4j7lqBM+QyCdoJAPx4YBYEYeLORg7rvUOcHx4829kNZYW6tRKH1BxHYIA
lSs3yeinD3kRTAc2qMmwWyJHz02qmvM8DfFzViZM0lXQZHeFLF4aw462der7+RF8GYr7ws2IaWKM
NpQfVO8sdIzPOm2mp4yskrEhmsWu3+exO52XEgSq/IKivOEOqYMDbBW07HwIvzHMtR8iC8ovM1D6
dE3aq6Ox2khOhGHCAJbZ8opIT9iUmnkWD9XC+W4aEoNONNk7jaBwRtJxMLW76q4Tk6U2Rlnb2OD9
cT7gxo1pjhubB+L5fAKowkw3iRVbjy1Vyix4ZoLsOQFQfU6kojIHfSXezaM/JOvS6FCizKZjhRo5
yk4PAW9fCjDrwUa3JDid3SA25NNuns1hvmoW9/EBcrfNeibpaVdPSUsf+yl5TKTjkU4wp3dBm7dt
OCDMBE7LQM7F+I2FjOQmIK0XZjLtcrZlifcIpwPRoqbAbZW2UIhbEoZPzKL0Hoow8Y21YBVlMLZJ
+RWoaP2DagpmUbtFB1gHnSi/W10W5OvAzgrsrRqxX6oUSLVFiZ9T8qBnomy9cv+/ZfP6L73rfwFE
/j+0n7WwpLNK/df72Tv1idPje9tOf/a3//xr/7GbXdhbjnBw4/rgUzFr/EyeAoMkPIqnBawjFqjl
v/zd305c1bFwYbGH8MLAcqz/WM6a4m/LJpcrjc3czvvuv5Q8/dXX42EhYXEMHTdcZr/gF3eN27CH
U42SW7JqrxFcEFrvaPyMFWfCiJqYXyABoX/VVPa3P/2k7v6wCPy3SjHwp1Xf/Y///qvV7Ncv/Ys7
z8pMP89FRx0JpS2rOGGgS7L50OTRxyiZoX7/1azllfzFp4DLyrQDEgaYuR3L+sUzk0VDhhkWTMdA
zwXBlKinc8onDBpY+W7qAEDQVbHnNy23RaGCbegPPj3Qwt0MnnohD8Otbl6eoPkdG41rykLWtipc
xO/oq5SRxY+qT1cU+p5NQvPb33/3JCL+07ePIw8IEs52F9ys84vNwmqZSTy2njS99DhdbBtWGDdR
Vq2DM5H0namwaSZIILmt70KVpY9O5N5aejnQoRty4MqXfEaRRCh7NZzqKrGdvVXnH7HPEY6AcySZ
kK30yJ+1ypGc2xL5iUcAoFRg8vCZ5DGWlngyKkGah+6vA5vUDYcKt7j7qRbrDBjK4CYPjkvZ5TR+
MNis8jHZMrVt6Nzs13Ga35OBfWiKCWvo57TkadnUvelUz3t/IoXa26V/Xbchs4zZ5Ef46+qIIRcc
Z7cQwAJejIby4LSmvQcnFz95ubhnZAVBGfKVbTkUVxaXtHe62v19HWaa0EXfnrmIalpMK+GDRgzb
jWOqlOYJn/xGMUoafPJ4Bw9Ib0BLhieHeO9VEOTzygmz7m4cIofMUMeM19XBmy1oBIvZm9wGpCzJ
/DcQISvPQ/uJwi11adZH486U/6lenAbzPFrJeDOKeaEBBF23y+y83rmeNZ8quh7QMuY1uDVzR4FS
85mm2Wca195xxLfBvZ0jEZ7fvdE17aqekhNlwK9Et06SbCDQAspp+dW43dSiU/EXmixKD2MZZZui
7OQ1NOytVvWTX/D7/v0b0uIB9JePUwB/y+EjTDbHB4f+a8iC4hZTMgbQLFUUFRtx6FP0/MqetTKn
bbPHzmc/0bGsr+ZEGW9J5JosCZbpOEplfRX49hcYL+t5iKrzqFTwXdMh/mjnoth30EbXXriU9Np1
/hVghLr2dSR+XF7C/2o70f9/hxqpKJ4u//pQe3jP3rs+ea/+cqb98bd+ZrYIWeFdxTmESZaYBK6i
P440L/ybQ5Ro8eaRvAF0zEP955EGxHiJZfG+9SxHcNzxn/7uN7L/xpuJOJdr2yIATOz+V/xGgffr
e5PtPTl9rFVktzjTvF9MzLVotFEZfbcTJeigvREtM7lVuMznHXyrI29QpvZOD523Dy/TvOTzWG3o
y2CYbcOlcMqClmtRW7MbbW1feWhu6RpyGzcEnzZeADyXm0MGBl1dhdwn4Nlws8ilP/b7qbW5dwxD
w4IYbWpcq+ViotqxbbGOVN4xCflAb5UqSz4oU5a/ztTOjhsTfSLe4jQANcMSmS2XqKL4SgeD92FL
SYuTz01Jg6y/m3Nzvpb0YG3LZqYbmgrubSNV/jBgeP82WMJ4ny53LlFE3kdJb+kLqImYcs7L3ax0
aX/bxQ5XtkH4FIbhssVddbnONSOK7Z60ln7slqteern1ieUCOE1NtGnmSb/agcP9cKxEwzanawX6
xOUGeblN4p2hKbq43DK9y41z4DYcrYaWwRtcvN3clq0pc6iyKnxtLrdWHBQ89dPLbXZk6qDzxAG+
imrlvgZsmrlbjwkmRyeslu2mvUB/L/dkw1/uzAEkNo6JiivwkXh+u0YBVF+V6jMS8H3f0R6cF4s+
rNtyJ6kg/bB7lV/NYCnuiuWmnpim/hIqDA3LPZ+r/KhlRbHkzDrZbkZNKHtsnjkFkI4uCgCFeD6s
NoL1ZPZm5T4nF7mALVe8kXOYLtK2Uz+YXpxJ1qWdfh7GvrirGpncs5DO8PGjIh3whXR7e9Ensj+0
CiRJmo3Si4gRLHqG6puhPXnmaBpr2INIHsoAikejCkoI+ypEEfh3CCSm3yD4I8lX/M64La5KfIFP
2KNQK6PAm5qV6WRIOk3d9QuVdtFhwoskc1FnVDHqV2ak4ApZDok5vSg5w0XVAZkAybnDKxMuC9nK
3hOhX6SfMbObLQygRTetDergs1BddaVj3atuDGjW6txVmCd8VaPqaO8Lh3K+YzGP1ITKW3N8dvYh
XZQosDn9WQ/IgfuCWxzQDTOoXgGk5Gf/ImWZdet9g8fsb8yL1NUquz+lEQQ/yESIo61bjVu0Uu81
pO0swDyUmlzBlMHethmWXjUkRZRnNm2AlIha7OoWL5Co0SLWJD3Q4uqxjx+c2VpIoUkWvogxlV9J
SQYf3hA4pJMHKJRiEfgw4+fsW4KvakixdNX2CIm8N513bDCeuI3ZvXrb8qIbhouEKOGlTJucqPOp
HdBE4WNjUtzZi/To1kn3ATA0wA9z0Sbbi05p5bOyD/lkoV/GrEDgX4oBcSryWHmeAXGgd3J3R/tM
uCQMa+2B+lzrP/TRi1aKKW5kT6Idc4MZEjU1DMyFxhEFy8gn+olbKXFTUkq8Yd9rx0jfqf5AmbUW
kXZa5NpsEW4rPuGk2mhx+8Yeor7xF4lXCzE/J6GCnAQhj46/RRAOLtqwvujE8SIZG3NF5KrCkGyK
OrwKsAB+4R1FGKbE0kSXEsozhwlNImoqwJcGKNOtWDpV8NlZe7LwFUOVP3zLWkfvAVVITAdI3PTY
oXarzFTdubyo4DFleI88bNzyKQ8DXNmZEdxYF/Hc82V76uImf2HThbge9DSfsAgqja9yUd/RLMQP
gLJI8kHWIM9LGhnBtiHcC2HVn70tEfPzi7CP4SYPnp2L4K8u4r8ausnfO5elwOi4NDJjBGVZ0C57
A3/ZIASXZYK57BXKZcPgXJYN3WXvwAIipuPtYC87id5q1Hux7CnUsrGwlt2Fq13j0bksNJAU/GGR
G1l04F+0tmqah3c31LZ3SJedSJgbrEcGpJ6jWfXsTJbtSV/4sDXMegy2JoTC6tBGvZM+CqfUYNXB
1D9L1BCxUklQ7OgptY+5tljW5M7cEHwYhfkJZ86/xftgvxnGUN5Z4EHgp7DhK1gZpXfAWUseKFbs
ejhMxuotW7ZFVUEp9VotOyRUasKQKUiIrTHLEC7EUIz+U7zsnpArrZL9OFZT94/lVIczmMYlstQO
qk+PdTBilRXXfokdaVlwuQNlTVt3ju7UZQHmpxHLMNz7PLWcZUfWLduy0c6jAz4esbPKcCkkZasG
30efLYrzDrGCq4rVB/auGQzbZtnIRXmvXrupGxci8eKOcbC7Favlc0gbc+FXVy4w6luUyweFxWFj
e/JrHXNLZq9NF3jWB7Dy3IjKqpb+PfaRn3TIQY5DRlxjw4ccODTTxplS9o/cFUkmf8c189HHjrE3
06LeLLwm0JxdasK3g77xlfY0VmE1EB0cZW6Hd82qndE+ApjK7fXksKc+jg5G2ZVL6sTBmwYJhEXk
ZMt17Bdq3uk2QDDWSfBZ15LyRMvszeeE9RScQTxX7mFELdQ3M2+fz8jzMPWMA6OOk7AUQKfs6iun
z1DDQpEdWNgaWxrO8I8mmAyU7gFK84HoQFyk2ZHwodgmME4ecpcVnztExSYaQrwSQWr9oHC2f6Vn
p9voeeo+DDxkay6kTko6IsOJ5riRd+N7tUdYbqzMbV4Vc7YSbZWT3ctqw/jiYPaB1DoOab0OciWr
jSXTYb6RrE6tbckbhtAGHULoppTgsRFsY31sUsO+kUh5KVqdHdfb2lT2i8U9NDuGs919D5a7O4Dp
8ZJgLI5l2cFB5Ykw+Oz1RHA7z6xpMAS24fU4N+GVwPM90Wylko+SHveT27ZGvoqGpP9orB77Zh/W
0xu3xD7bYNGCmaKMYIZHHEMxYmMDjhfRAB/PMfYKwF+Ty8Uz56d8bUK2YkOc2z60TO2d8pItdWPR
pEa1qtU9M0RhESNfa33r5NS+qLpPTgU5NRDLVsBinENJ39D0tjgrw5a1iG+6kUkznJndKmpxqHD0
3B4fjJHMGzPvW+9qiNPyCNwdEKfiYccaEPwjo4svWT/DOOHpXpTzNb6x1FrDFA4gchbe/QhtBcAs
+aS1S23FMcA79pKNUmWHykzk/cBiuAaKZbXTVsH8VVcAHSds/GYUXwMaxlVCgQ/zixfKe4sw+kPU
QTxdRZbXt6t4mO2GZ6XF+2RwYSTndqEE27ls0wZjtBmw0y4sULe9d2N3PKtoUZHhpNDeyWPcfc5H
pmIeGQk7slTge9wGiROUX2M3q7+jpSCa5/3E4yIel+kog8iJUUD1xTuDQvQwDXqKrwK20WJVS/j9
fGzCuNzCm4GahHMGXwcP6AkTYZb0z3nkmNxrOaNvVT1F50oNw5aPQPu9BLv2MOZD0gE6CIv7ZNbG
F0uK8NkatLu3hjD8ruxBfJmMYDwHrmu8gghlbRLJbL4f60y98vxlXHBkT116GXS0iVbONK3GUgRH
gSXqK3hOJGLFGfPVcwTGRmdZtvMQEFkO9j7FfuJA8O3Wsd03BZOyyJ0j5nCmmA7YcnsImP5Pnj9w
Qa+HxD6mneUVOwnvFOZwwunGIjOR9JrYSZye5t7Lz65y0IOUs6wA0oy480aFQMmGaii/dfTUQnAd
FQgqWmXiZ+L9VE17yahbEx48PtE1714IRSk7FJb1mAiynTuP40BqqKpD4x2UkH+Y2F0GcDBminmP
CZUqvUYu4LqzcYRXBy/YBszgwWXhC5SDdxox21ybLn0hkXp3WbJ2U+xlu7FnE9vrwt/GuC2NvaZV
5mjzeeKNORtBecUardGQ0ZzBXnBSDKz47bBzB+6T4LyZT3k0Rfd5yExwVyjQN1S640W1rohpYDFP
SqB42zKI1dYScE7stU2jIzeVoqJuI8XyLqW8poqb8QiPrMJrZDalc0OksopOLtSc5DYYfeXdeoTJ
xkPWpf2C/qrue0pijasAplLzNBUA+PehnFx7R1tykh5dM0uxCMRNWx7cNpqmHf66qXsr50m8h2mW
e6tmouTmLfdieL2+jk3/Ki56OyKwkI4Am4ljs262WK6luD4mOEObmPKbN9sbup4NGqz9tST3y1rE
nUKgzbUcD3lgqpMzlSYOCMhVB3KI+b6Pe2YJmp/1Y1LhKzlOKT7/XdKyPqHFR8XZde3A41/TTFBj
Hs2tbofBdDA2fTx6e5zCIfi7ttZq12QBZxeEYT86VVJN0mLbaYlpxcmAI8qA6N+96pxxu5F6okt0
UcnZ4CXuXK68sQ+aUyUw3h8iioYmrJilnzxzSHndEYtcxZgjRmhMI/w1djlpN5Rf2Oo52YfJZ7i+
j1U/sVhp0mSVyIglrei84S6TYfiaMdyx6Z/6htQhLwfnQZtO88GMA384J1BnodgD3nDoovYhOFmt
9GhqaKmwLPPXMAMBu5LgTu6SvOFMdKLmzbA1KKxCzHdZFz9kg4Q2ABsZaEIRjoW1mu2BNbr2ANun
pL7PVg8Ai3eUEf2YU2a9o+lnLPmRGAZcREUyfZvi1raPHXFABlYxdNjE8Sgpk2Wr8mKKXCx3Ko+D
LQ0HvHrxoGLgJJsK09g5pkaR5HmHPreJgsn11jRvDx+dH6glsxIIuOheW+If4SpcHNKupaOiGwhr
d7Ed8/ugb9il7iA2byfPLqzrUFTUr/G3BXSRahDGhsqKsFrVZaIJ77QCdRYSzqfk0Z9utbS6L50J
W45VWdO+l+Dij2zrDFgtfkQxRNGpNfA6E446bSTFZi5d+5aiDGyYmNj3aUPrZsa6fSZMw4/DG732
zPuyf+InHx6cMAaB1deUYm/HuTs2otLvmBPj52lK+6+TjPtsj8PBOg226R8h1U7mWgVm8RrjY4CG
TXRHwDYnsLkZB7eBUYiBsrgJlaLshAxLGe4MXtgzxKvwHHgzEQaNzXlESAdIuGm47GOGjzy56cmg
EAfFXDtsQJHTrOXI0PtjY/B/TN1cvtC3+mep2/8duCm0Qfe3acnHlPqY8s+q5c+/8nMTF/wttAIq
2QiSL6DXf8iWQUBKUmALNInhX/79T9HSCoBT8S9C9CzTXfZ3/xAtfUKSAISROy9yJtu7v5O2fi6/
flfKZv51EQfOxbH5rhgjgLrA1XB/CTRztopqhE19cIYErFo7ktCr02sHiOnJ1yO+MGLbG2ch9dMR
oL+kYx6fYFQjMwlSYiY6CqLlEHzLks7cRDykHvAW6mNtNP017NDk3+zTlnXZP9Zp//n7XfZVf2pT
gnLp9WkwmYcwLcbD5OAfbzj/4DVEG9Ggolkw9q7hp0R/7KL/ZZsnkeJ/86V/WRw2nlM2nCzTIY27
dDWj5MB3l8GO7Fq9zZRRb+awMFbKpHYrt9xbvVhmUHDLTeiHLMAatz1Mc+USBaTajh29v/LJolLm
x7ap4afn2fq24Jy8jqCX0KFRU6HVVuLQQQRtoMYSuls649Go8GuwmWmKYHiheGUCui5HeVcnJV05
falIhIv4KucRusoLnW6LxipPZSjqa1eF6TUlvuNrosZ+YxpNfZWaXOmncpa7tum3ovo2DYk4sl3Z
G30GUTpMuNqNpvjijBQW+5iD94VdBORq4nSX4VDO2rAjqV5b6qVJXbFPKoOu+pr+JnQRKogStybJ
kn2hQfpWTeM9t8eWs2IzFsaL01Xhucf+epqy8Gs3W8Ye/965xdC/mRLPusrm+Losubs0MRSEYMqQ
GlW6t0c8LEPgv1NMPm8GVHEIHdmJyKqxsobpVovE3XX4hrcKKNCa3uT+1AyaoJyKmCyASdbRjOej
FYc2rkkW6hONCtEmbpsNRqCVhf+nziT6Z4QMZgu5Y31LiXRc0ng3W8O+zgJna40NxR56wphGv82W
F5Yw5BAgdltPvI1xS6lJPNKSg6A0Hdh23o8qtE98avDtq3M0hWx3A2vYNYl+0oNB2qbUjGGlQ72N
p1DKx+YgEoOYmB63FIiFoMT4nSR1ndyGirTFYNvFVZgs+1kqk7vAi45B5Yl9T57l6JAlXgcWbFpZ
A3MjE+wi2UMFHbQ9PxlaAmCMt0Y9DOshKY+z3UKC5baLDZd3s3axmAKAQy0NQhCvSGXnMU7EWlOA
vhdD+UES86nPmdmwi+ylDMAH05EuOHA8hHTAtgQQmF5WlFSTVuixeFLnvK58gKyUcpHXoLV9DCOM
a6FLijbwl8LHvec+V1VHp7aNUJi4oEy5hWXUbJAYioqMVaxk/ewH2Z5814NZCXE2SL1y8rLLoDoH
UHLT++epbvJHkkPGhkK6vR6dR3iV3HgDjW2PJMgqV9mNF2hoStAxN0Tm+nVPuGqDTX1vjO3epYll
63iwOS08oi6t2LGbH8lJPaQBKx056adep2e3ofOoT24Ghiz6C3HU+8NWd89zIW99iW/XF+ohQfrg
ApanOxLx20qo9zxF2fbi9pq02WYqqyeIpltLhzuZlN9gQ257Rq1N4aOwMqEka6rbbsLJI8A+E4/M
JGGFkGSxeav9+JRFlXVdetKwqNuY/F0ceVW9qu26+2BpRTctO+hHjdWzY339YDB+7KIUTlcVDpqt
TaxXosK+w+3fDt+Tgryv4GUdIVPiyy/IcEHgxjUVyQYhe+rx3ScMZ8CJUPUaErRWbpFoB/K1acvc
vQ8iK6KdEVhrJqQ6FEacLJTpFrlBfCnZzi4OpfE8YXl+asOAhwXc15VNM8+eZUt3AOyVctWsfHFF
kk0cQ6naBxkRhx8V7X1pTaSUFQB/EC1zzaUdz3jRCtZl0W0zTafWsqet6+VPU5X13KPwv3u5gwV0
TrZt45NAxr1JJyN+CTBJ7Y1FQSamdy4iPZZVQln4ELIcH0LYdekx9gncZUYraPBK060vhoiHXee+
lKyE/GjmeZdxR54DNIiRWiNWmPOhHeFMGWb9w4+rA4JXv3c9SBXGkOeHLkxfbaN1tk4a3dOUVMHu
j4yd7lhtcWcftqORmUckpepmbt2HP+1Uf04Af7a/sCP99QDFzmG5ps88yRDxy5LSNJzENPLlBhXW
93VKIqfMuMYT8zr//guZf6XFXI7qv3ylX0aLvNdVIsiZHIZYQdWNwu/m3JFfQdomA+F9eBbpZe0C
rg2XJ29DTeLm99+C/deN7B/fAiYnUDo4WyAe/WK+CeqK3oVuNg88rRimhWOxy1Idtsal1cxoQdml
0swfMQL3hxzf6A312XqVIMOdRRbJczgiC1FH/OKBu7nHVhJucq6X0Idgcd+4tIcfcnKWm2wo4gNK
Y3WwtO62YDd5CBL9b6UIDlgsf0DohYuCk2NdtuU934exxeD8/vvX+89+t39+ub+YdWiqBeCNCEoZ
Zhc9wFtHq2XRtsGhPa9//6X+6qL6+ZP1KRoX/IM+rF/QGubItbJH96Bh1f/RI/ivJtd5s3FxbVq3
efn9F/tPNFR+g0BD/vHVFtDHn6Y+I6VyVteZdaDRjW5P1/5qk/E/ZmP8aaYtXGUv7+8QhxPgytZ8
6A2c2FbeuGRZ4/46zICk85vcIHHsC0/qXdap/qSihQSssQmlKb/C3B3FJukzd2NN9BqKLKlIvbd6
8Vryf6tp1els40ovQ4lcxhOHOeX3r3N5Gb8Mt0z8poe1JQh4ucvb+U8vk6SbJwzOkYMnyTblXiTW
pU0SvQw94y4dDDKXShb5v/lV/rMP6l++7C8ztdVDyBc1hGLDcflotO6nn9NzN7Y0zuBLNk7VpG8i
DPx3xTLlYDXI/80H9Z9+CzyUgMtQWx84v7ajFMLUXVOm9EemhJo7jkT6rq7xdERrwsDGqmg8OCGC
edP23njqy93vf/L/5O0MIOAfX/+XT44awaOYVewc+kK92V2qb/oqsk/l/2TvzJbjRrI0/Sr1AiiD
Y8fNmE3sJINBUiIlSjcwURKxOBbHvjz9fB6q7hYpDWnVF202ZnNRWZmpJAMBONzP+c+/1B4L24jf
YTHpTuH1c/YCE2MTE2sc/v/lc07G1Gi6CuWoa7fZUYwY6Kct2sa3v9NfdgPu5399yqvv1NqmPeQE
vxyKbhKrkS+4akuHhDrcZ//9T9JfxbSAirX368vvA8Tcl8vimYclGmFnBOJz7oUXnDPvfKO/LpPf
P+jVPkD/0XdQAB1OE+X/TMfuJrN8Zx+CZqAz6e2PMu4YDMe6PEZXQyugOvWODeVfWmbHJMqcV9SE
V0Tv/vLbRsmEMUIa2Qe4N+qwjM1wryxHXKTMQg8Ku59KhXITD7GPI/tM+RaTJMlcA91ZYXwz/FRu
FRzGWlcX5ZWMi89eY+e3IrU+ZQ0Eobefjf3nYnNM3C/CAFCCK3ZfLQNDoG0ploZLi/urckboIBIz
3WPsb649Y7meQm/aqt489G2CQmhMiQInQ2KXTpLy3S0JucBTftMM5QVlarTNKsG4i56mNXANool4
VmqML8xahy3YzpXwhxrREq4rjEvJEjOImFNLRW2lono15D9xshOreawL7I8H59i27a8S538Mg/od
gvpf/w/RxjFE0wE//3eG3f23Is3/cfr2o38BVv36sX+BVeY/MVaFvWbhrstO/Btt3PunJVjxkC8B
xH6x7/6DNm7/0wnNEFoPzuCcXS4H1784diBcviYOw33GGYjEI+/fgav0Wv2vjRN7zNAGSeMvLp/G
dvPq1WtqO+i9ifB05g+3BKfCfDPqr4Vjx1h44WrayUuHMQVLGaun3+7U7a8P+b1ufvka+fBN+RIm
EFnoCjj1pv7z38/mqLUKORrdtomoH3HSKI85NsjvVAAQ/V99xYC9xXNBC/FGh7fovdri4FmZ2Qjq
vBW5gXmCNnMwumReN7QHq673Oyg8GVGWzG/2vTJTpO/C/M7kId6GCu3yNukcDARDzLdOgwurelom
9wrCC1Y2bmpf1g1QeNq04TUpMMGmb2Z88yL0cPMhMtUmoj+6o/x15bVifk5l5d3bEH3WWNryC/0F
L4eFCdiNUwmie3qvvWaSK2GggwNULqHxuWerbuXmrX3ynQXogmRI8mJxZbnDYdUi1bo17v3FmdZe
UIU3o41O00fAcB1LzSBDVv6QpRDOax/XFvxpcPLKvX4Pwu5ehVBm9i4b7cWiDTTXU2MYTIqxYpAH
x0fh5ru1124aI+3HC5TIlX1VM9bEVR3/5j2RSNC1DIhMaya0wdcgcjIkxpayPsBkitW6LUL2tc7g
rrXgfPOQtccubgzICnTldyizh59FNJtfIBa1kARco5zXmCHxoyGJ1o/YoyQSSfFYfCzt9jPuYi6u
G4Qxh1Z3FZTOVViW6hBnTXsYmiDdZ7Xx1evN8NrsnYnAjh7vqbxve0j9pNpiv5XBF4MDPk2nHq4U
D4u47iGYMCJLMMS0gpi+NauD6liSSXCR5BOEniEZ72O7yvYQTyBIY26OfAvC5tLzuFshzW85ANHW
K1UbrUO/mPbSCG8KEMQjZNN4JwE5r22cH+myQdVgliNLNtrgIFCJbjXS7ZKL04vjjNuUWqMO9NfY
80Rqh3M6j78plh0gk0PfHOAbZljhbnDwsfe6vv3sxSL4rPUX1ypTrOnYvQpEjWJZr3PSAfM1Q2rn
2p6b8H7wsAJNir7bULu0WxulPXydkKoew3yaNDqbeyKn85CYlUZ+xNo9FJtB29LjEBPqAGiJzQlG
VYwdv2ZBb4udwnTH5BabZb2R7YAHciJGF7/Qhej1lT1azrADn1hOQenbTyUZLR9Mu2Qo52ddvp81
VXy0I/8nDm/NR39swwfN8aRE1FxzNHHTMe0L596WmGVvpmqq/ZOToC7eltOAc3A0uBFGT4ZR7+mw
sAEdzRSviUnWeER1Mh6f1Dyl/WrILIDPRjTiaxC0JG+R6LVmXwqoGRYve2qnJr8lmUaSp9Tn921q
ufia1BdtCbEmyMfnRQ+fsXAad7K0MYGrNMd/arPDHLvpdS375GJpqOJFpKCcxrU9nLwwUVemmzJh
6ifRPXijFX7PIju6IOp92RguE7GyHfHiiNvCPUizzupNKtr2ehENMYOo0z9j1ouKpR/FyawW91u0
DOUO+6P0mdAJ/MoZNCD0HYKP1RiKb0W8eLeix8gqIkN+NU9B+wCtodrnQ2seSfcsHpPMrT+h67cf
MGR1LpIWGqhiohVtCFbDc6/vCf9WbZsjGCoJ7FkTKCCa71DayvgqsRvypYosD5wHizhlEof4ycdm
wZ4NZsBzFNk4OTjokJatAKJeDtZoLGg10wzXdA/tO3G22CIy4A02Wd9M5jo2a6bw7jR7+EkYCDqm
jLxfVto0r8oIBT2y0zA1Nwa68y1x2w0eZbKCb0m8PApO2yZVqce4JDx2ai4uFxst4652JFP7AENY
bMIC8dU13BCC2TJc1KYffW5tq8EO2hhGVNUlncM2igZemyE1om+JRwLrKurC8QqTmvFTn5WdfxEx
ZI8YesrlDus4bdhmAypFcTp9K7NJnbomaa3LpAjC7WDMX+bRKIEgY25MOeTGxxKM7SchV8NFS9m2
HX1r6Ldm34PWzMPc1RuPOvCRxb/E22IZMPeD/4MTBjgbVOrerWEP1uPgjevCr7X2GIUPJKdRiS+T
GmzNopGCKDWzdFYIwrsvRjm2ztaXyvmMcYb5WKc4I5r1Yn1P+87CVWHBEblbmp2JQ+DNCOH0R0uY
1MmspzDb2y42eNh1LRFa2iWq9nMMjWHNf5ZeQaiEWRYr376PZh1cNjq89KvK6Wp4Hg0XUMhFQrtP
Fsh3o0Dmvoolzo0r2Uql2DMd9gu8kQgmreRcdlDu3J70Us9epl0A3cfYF5BCaDT0uYMIrPrE0RPF
mxk+Wr+upkE9yLRbrmSThTseGbLtLOjwEMR8t1YRBx5U0XBl1n53OVQDyp4cGwTyWquivGVCTbCL
w+ugDOljZDK7t0hViV4LC/xCswHzGCbXzRqFVHks5gYuD1ykqwJ0dZ9ICFArZAokjDP8w3cyJC3k
g0FQigf3bWmNlYOJon7R8ZdcusbaxsSW/sAEj3Xbz7jvIQgN2+eGUCfYaBLiHIYoiIGJWI3XISSw
x8IZnA2uUd2dIau93XnTbTKK8MMix/iTwP9uVVmzvyZjEra4SkCFnbJwCa4Nm2ObxMlNi4N4y+00
nIe8qofvA/lcvDNp42OHGM8TvQpenmsiNs2VjVPgdbAkZJ1gmdEMHMh93e4dsyLX2LeS+2HCJQ7z
An44cWp5sgjBg2Wf2ydnEh4GS76Rfpi6DmW805lXBKJsF0ZLCGMhJEALWRFpLHAewJ7UjMsNZfJ3
ZyCujIn+jZxjc1XMEe4KmeLz+EFvN0SFf9lVY7Vf8IRcF0rhDqnsUfN5y+AWJyCk/V4r7GIj0VqC
yHuqukKGG+A95YwQG1hU1EEUQs/FkCwn9IBEpgWpsXzwrMyDlGenTgbniwtCkVaggLPA0EEL+uYn
cHbQ7Z0g7b73ATZLu6IbICAMjVIHHykGxs7lYK0I40uZ/WA/4bK1umW7wnQrGi/K1FP86hjocyXx
noPsO+NEM3dLvx5ypw0o+VzOQ9Wn/efOba3PI3L3LfFaMF50qeKtOk8bXtB2Ouk2q03vO8YR/p3T
ROMnsWiLBXIz5WUc2MrGsZbqa9u0JrZ8DNGmrUDnicvhHOK+1arlJDEnPDSl7/wiTpiWld3YsRc8
Tq1sGDqJHqaqJGxTXURT6uB3WHhcyaCFpGtNS2Yk48rmZygt/AeHxSqQeY/Z/NHFaB1ObTvBZCtn
5qcHE6+6Y28QdrmdwQqOSVYoQMyYj4HCj8cSzwUqeIRzJxQUz2ETSxkxtscGsfl4UxYOAfcNNOJy
nUO6WrZkx83RTWxOQbnJYsFTV/PCDcokY+qNpCB2d+6cWB8Hck0NkEcfM5FssKzhMvTqIdgJISk6
qjy87Aef2WpSmBMVMAjgijhBeUkuPb4VIb3XPb6e1mcctjxod2E2XAqnsfEjTFC8selg3sRW8YBg
ZiivJg8JxIrwn5rBwoQMahOgrqBkVRPC/DI3vgUEQUybyFjgF5J81cgt4XdtCm04aIddZ3poNXgm
YXOZzFH0Occz71ODd1eKvA4n9Au3o/XPq6aHdFUbP02RRcxbxNmcwAAwmOCsrCtSyh9RKmBECHuo
+8zTVteOWLIcYpbNsJTN/BC1uXVFfAjaEDfqjgSW4IfgRprJwlffzlxEj9bAmU5qwH934ycxudwZ
5VG/UWHt3nemVeNl8HbX9wpx+tX2EWyCsJV+WEf4vmz70IF0fZ46eBTgzgTVOH4q0/Ijo75HOyw+
Wm7JweozFaDI/NrioHD39uefO9rfO17ddoaW7gVN+k73dYDV3C6DNS4OJhMxrOd+6ElT9Q3bCA5O
spCjJAdVWIy+y+RHycFhbayxzhGxQHR/FNPs4phV9kdPFd0Hmfrhtf4yaw9myckY1fyIYkrhQw9V
D6vUzO9uYRJW0S9w9f/jMe/k1GlrevG25vF/lz++Fd/Kf3wrf/zjREDm07fmHxdtzj+2v0M0//mb
foE0of1PIlJMEkLAcH3BWfEfQsiQfGi4ntidh6hjXQiG/ymEFPY/+TfaXZ3W2Ac7YSn/C6RB9e+i
qg3xA3GJJuf3/jsgjXg5xtDCR+FzIONhAErjBvy2F1BJ2yLsqNKp2Scje3DmFk+lCuQW0na7SgAY
dmCPz+C0ikwN+USAIxNAjmpOC07mtOLUC8p2E2HPtY7G9NNQAaK+/Vq9fq31JQaAUaELXIX+EzOD
F5cITcQ1hYybfVCQq0TZT/GT0IfOSXgc6vobru0nr+03bWy1K+nh1PnfugCibixulU+axMsLwFBQ
BRAhidDQkcRUk+jjRM6JlUbbRGdJ9vh2IlNjTIWZyAqCYPvOJeid67ed5XwLiB1DMIszgRnokPHf
Aa3WwT8zL/J63/QxbY7w7/sEu8/6Pcn2K97UeTkEBKnwMeB37GWvviqFedvNc1XvywqoCc5uuPM7
9VhhD7bD/Chdz/idATTBJBvGEaQpMsujMVl3LjyzYxGBXdgYxnxrM3fcNpNlfrAlrAj9XuxDd2og
TVbzvilIKDcU01vJ2c30XynssYZuy/QVz5XeuoX5m7P+uJFz7X0hrOzCbIBEnLQmFrUkqxkuwLxv
3SW5nqMHPARZrQXJcCJwd6hOpxOFyLOwF7lth/ypNGgL8yYivjT8CXvmAwbgn99eJC+5bvrG8UpA
cOX8wcYDBPLlE/KXkoYnBb1y7QhrvGn+kkUk4Tgo6iL8CBHLwAfy6yF8Zxj2+tDhg4mqR3yJGp4w
GraRlx9cqNBXLbyMfdAmkIuhZ11g0d4dLKCyTYxn3Sb1l2FdNZZ7RdehdmULmuMHJQ80n6xtnsQ7
QltDQil5p4A55SaMIKNB5J73eYYFhqZLosOl8dy+fc9eGwToa/fgUoYYBRCh5L+OIzP70MGpNMn3
yFXKDQicewUop9b2EH6AG1RtpQ+U00VdcVJTACVZXGhKI9nm7SoqPCjkegNypl3lHj3fw9G9hfkC
nNRusA2GSILmaA196vvb1/3nsyYxEgAfrifIO8KIl7ec6tig/uWyR6PBUsdhUwjQSP660Y2nwnXd
d8SrO7n1bw0j9Srjkx0NboOM/Vlh9BbNQE8awz4aWrVGhwKNC3Hw5u3v9wo+P3+KDnBiBMWXY8N5
+f3KHAAYv6t8n8x+ufebWl6S0P709ocErxOKzh+Db7wF+V4wRbZebWpV0fhYBA9061b+DJe/ISKq
BfBG/I0XmcNLHhojZ8tASn0pFkbrbv4sYme5Uxhxu2WfcO7M4Vo4Q7gumDxvkyU2D3nLIpfZaCES
NVKcGIN7wyN8mMDSE57OzUUKoXqD02O2Gkg03xn22GEWaFrboHL3JiHua1dM1jrFrhvjK/6zNnHF
EaIvCa4Q1Xk9+HmnDoBYFrxJiF8LVlifEstAvAgM1zTclb1RrpJQOTsLTRYaOER5CqJS1GVPxZI+
uZl9h0oluowU/qaOnT0TiF4d2j4BXgjLgzGFJmR8M9zlIHJNHAWrvmLPhZIHfDbQ7Z+R2DJurfWg
cqTHrEFHxg8QgJfdkIf35MiyAjvJddt3ZRqCiyeDtbWt7lGUvO2j3r3JAmk/q8ltkUQ2wWbC6X8t
HT4sDzPnmzCRgzeWD7NtTJ9aZJwbHAZITvbyeg2M+bVsrGwdY2/wgTw7ioeUMYa3eMbWz7NnkfCl
z4VwUXC9cdd9IMvspyc5PUd4kPE4wmQM2LjHXrVbyQFCtsICmtIYj76p2o0TYTSM83GAq4sdrXvC
GXbsZeUe0dETlGDw7tpLCd7mBM5neGOFUxzdXH3MRHhfayU5VLRuI6Mg2VP82BwsCGZzm0dTts0H
L0XQWqj+hgJjH/nlU2O2UF1Bw1eGTwZUOPE0i1lD33XmrYPc29V1/lyGjQVTeACvGsgll89oPsP9
hCR0Ezt80XYssLuzryMQ6nVQDsEG06GTjCprLWrOAGk7cmP12NREinWO0NrYzvinraXgo+ZBPhux
wYrlyc5+/AxAzh+ZtftpkHjvlHEAedYpUEhG8TMGs4SxJ1qJlI7Bxkiq40Ts/AoYGynjUjyRn5Df
9KFgejwYwUcYhTu8dJ+YGlaHZDabK4/Ua7PL+Y6Up0cv66mt9IOhMji1XtNt8ZDgn/TanUER6UZD
7B0JnwchSp+CiJrRje07O8jDfTfnT4E5oApmhQt4PbTdrCWGfSz8ctph411uRYGWR3fGIYVMgoDs
1ytQsMKEsO/armFwMFB8woddrktMOuC76WrD4PdVhbJXQcIKsgWPvzV5XVRfwQC2huQ4mhC1xBiR
1BKwaJG1PZ0vnMulioH1gPcsZxo0Adx+XAYc6P3DXd+Z7NcKMmfuJ+q6CsN6C4BgYVsdyu1S+xfC
Ow8zQN5SojjW2TQcgZEgiUvQ4qmLSkj1+bPR6g3Ld/kZvgdLl4w+/YAL072z8vqxQj688qbsufa4
arR7T+ftovflczdxjAUDO0GZxXxA6xHbnnOCKIw/Vg2zHIIJuIk0A9RDC/UUVbK/GiCP0ZJmxxw3
6A1+GMGGjUpuvUU9ulZ1PJ9OockqNmPuADnI0SWpL8+oB6NbIhB2RLPJdeoRBdq0pdq5E1lIc/ij
xI1zZVus3JKia0W3/IAYnS3P4PcO7LXSq3hIaBMbP3/qqK/0djaT8aWnf6fzptS7bC9Yzj5mE9eW
4kBqMZk41DlhAb4eHQpeFS/InmYjzdaB3WCrOfBwz91EogsWL7UN5rcs1so/nb8hyPWzfiUwi7zT
RwHxVHed4sLOz0BZ4Skl0xl2LECMHI9BnLlrUeplQ3YCqlGCVyvRPBKGII5ukz1LFeew/1gqDfDl
r50ucNhM8E69r2aXHdVbDHIXw/GmxXd1i89kuMp4MyF9LvwU9vyHXLbRZaefDp6SgCBLheV6iWdm
xns4qWW6PO/EDHQoxLw4x8ObSRtnPC76S4DtErPCFT/hcSXBhG6PPw1aHgBIHn7AFRNBHGdgwIem
3ARaUwT7iRGmyR07nyu25KJaXTxLz70TTbQltmDe2xH4vkT7v9YrbFrYjAkNvSOxT4G38ajGikXX
hGw88LVYpqhx1+g+y70dUlDop4v/CPbCvOF+wq5PF1Tu65hfWA90Bef9N9e7Y1QnJWa+wl4ZeKMf
6qztGDWkT0iMbSzbWNVuzwvkL/LoeVy1hTwfgYWQm3M53KMN3fZjI6+NKJ8fzKTGuqzg7bbJVMeL
RT6d1wqSwacsSJ7LZbqPTKY+ZDzBUBm41fq0iUL2RaT5AUPxTl5Pvic3nuGRbjygkXM6jPNdi2ld
r8p6h28+almvSU9jyl2Fj0p97vq7rK6TQ64qDjxGJyd2yfoqdZLuwhlxqGhdxo6TnWApIZZwJ3vM
EqoqZN5T4xpateM8rgjEQaOglvgp8ScCHGzhpLtBqGHVBSkSVB8DzXRKn5HZP0ZN2e0mOqvvRiiX
jzYJS1fIkKdNrLqPWVnHe/qcdGNFQjzCtkTFUswlFbGNkSVBPkyoFvMQ5zWyWNokAst1aaCG6qJx
E59hXaEdS2bigUYdpYMHzUWgGziZUCfXS3OyReLsfND2SzOMn3ojnzaZj0QaCpJNjjxJbJLJw9XS
8Dqpks1et3kMJ+UmEbDdOd7bncvE+RAaRX1K3VzC9idZZqxyjPmdwlwDfFerKSega1CYeiUFDsOQ
H9BmW83PbKFg61DJrURd5oRBoWeBH3bRhfVjzshkxVx6WQ22N14PNj7+EluAvRJNRlamE/Hx2P2Q
6RFpozZ+90LKUSpEv2t69zLHVSTO4/En8vXkUNRBtBmniNAZC3cYH6P8eP6OuTBdpIA4mhj4cVQB
7r1G3YEhW4xiMlmm+MCZSLadyjLp4VL09im0yyzJ1nY7moB8zobi+dZAhgVFkDLRRAQyI1MMYp5p
nFwjTLhKySXVs5sHYY6XjQdcHKSFYis3fiqPxeePlkRKICz8eY1vJOkyv6xxQO8W547plrXK4Mo3
hi03JXFteNf3UCYIyzvUKf5J7UTIXKA7n0UyIDCZ/LDZps9iqsJdooMaRMROU5XJ/GB3Tq2f8LIe
c04gp/Si5xHj9TX+ovkndLTOlbOYj2cnQEO0j4TIUVLJuiFaJ3TY3kiTxU+/28uKIjiZ6mU3Siom
kx5OrjISjzC85f12DHm0Tc65mM3BFG63NXDCh/+CA9S5o0czxHZg85oGikKmNMWdPQXEEJTMk5qC
dVvpJUrDvHfG8Skc+mAvy+EuCVgxUUgIm1GSDLNwFOjrHALzToA+7FtP0BZyWq9CyuxeJE/SrR5N
SUTW4Jp37UIsEtZArNCknS6FSKpVavog0n58i333Uc2M8FuSSs2BzJfWtJqH3pBfMs60GKvA2prD
y7FhU7PGTF5nI1cTUFWt2rCjutbb6YL29Fr2nHhD0Knd6Ab3diqfmB8fKTCm28WfGqpA+1o11DVM
9/DLTj36Rsg7nTViUTgVH2GnbAcrWXadlfNd8YA9OWOW3Jo4Y31JTe59SZm8FdK/yB1WmMpZDdhH
VBRY3FMMhbjPjh8Qk1CibjXS8b6oDQzuG5abpcGrNEYjQrLSeg7Y16KWOgfOzHQyDNvqV16oN2lt
74g7GbV32yENGakxrWXATTzNiHVqqkMei31k9u0FE5Tn0kieY077puEcwpnpFNtc5/lEZwpJnh/l
Tq3XaswyOUUOXJWYmoDm2tpm9mxsDS6YaR1nZjlXYOK6a8GUaFrBv5KbPm4eK8bX62Hsx5sY2wg0
yiYPmzzFPfq76HIGmdSpiNON9Dr5ocZyaV2YYmvEJq5HgP67nI6e8APWJHTe8pgONmWUgxsmhtri
GCs+JrdYw8SMLF8L209+NOkUrkEtBhAQIuDDqmfUarCaQsYr3/Kx5bc0xbO2j3kqGOEcc0698+qn
3yRAMUsvaVafASH4Vrn3ISDtyAutO0LGaPUiTq5MGT81UOU6S33o43C4dmueyCz1GRizPvsK/0OC
bfSmEKs76GAFh1mo1vB1s7VlJidGv1qcZctt4Vt4jrvdpUFIFDuuupqthXFXzcfPeUC9yrhzlRrW
jZ7HAptgbWkwAd6gGQx3rHaOuJ5HNJTO3fnsDSfe08SJ7t9u/N2/wQtgjChpUdeYpveKUT1kgz/E
2Sz3ZI/QiNsAtm7XPdYKUDAzYSQthpB8C55yt8BSSqyiZ6tRn9z6c1CrezNIBe8wja4uM3rfNLae
79/LIb41rWnBW8E3DgjaepyuTQwnx+HWw9N5YwUdBXAXP5yBzHOPRGbkj7QrkmdvIsPc7bw7Zntk
8RqdOFrePF16aiqOmudHU6KLUp8eiMCElH5JohDqXGovwxS/mrBe2MGHnqm8ETVXZVuHayfWVWCS
VgjebNxJ4yC6kEJM/z5EzkQAfRDiYw9UwH6FSDF+S4qYN4UgE1qOwB+jy7YHkfAsii5UXp9SDaXy
/Tj/e143MVI0vv1Y/wKKBSHDDNz2IOCB574EjXDVrd3Ukv0+8wk7IPgiOeAIxink1ZhuGBlhAd5g
Mq1O7XfgKmHxq1+i4zBaMQV3cJp0LLCklx/Nm41Xqwz7fVAzD3bZ1ElMNcSHdPSKjbMo9bVHILSN
zIWpvpvdVkMxfAyVtZ/tSTy+fRs03PrqWngCvvBt/MFY3q9w4N7qyb6pRrl39CagAQNsuSih2wk2
qktsUczu+vZH6q/36iPBRzGNYDxhil9a6N/YrnaJvXADKLVvIzvY5jWhkXXM34m8up/aZiABzRg3
5dhgyBAPxeHtT//L28ycgAuAtH4eZb28+QU31e5w0tzXAcWYBNBZlzQU76zwv9xWUGYLQqD2/vxj
TMVpaiGMJ658EcxE+wU+XJNNX425PbVh/mXuGEC//b3E376Ydi4NwLcF6L5edb/dVnIDYsqSooOK
mrVXyMXgBHVOc8GWAJQzBveQGlEdmaBnlhc/FVM+74dJKEKb6n7N2P3Hkn96+5q0NuP1k2aO6MGo
htv8x+KCs9mkoal4x2T2tVLu/PNX8SthF1b5VJ/e/jg9ZXz1eS66F98B9dcR0K/1h73lG15UynYf
pP6pgTm+KQ0SoCoCBkhF5wAWg/fNybMHZRYXuek/NCmJ4kM6XveW/NEFY75a3HR5R9Shp7J/XFZo
uS5LnVfbe80st8l0mWN8/vZFOIDT5BTPXs1WA1WUI9OyLvqqPiaAZJ9xM1K7tuIRGUkBpGtUj6KZ
AKao49ApWRjHVCWUWc8+jaIj9CjLvnvtAZYaMTkOJQgMPbu175CrP/dxAk8z7jOctGNSsEBqfByb
cfJjtqSnjhBJEVKbebZ2ii5DBKx7a9O0VoSvoJ+IDAgwGsrSY7vzwZYtZnPx9iOz/rw3epKMdYXt
4aNLovbLVYvJ49TRGKp9HNEuzC7Rq34Xo+QcCSFUcPzwRsQIc+oK2JMD+Tb6awKtktpG+Ooc+EC1
cEHXBF/DZDF7Y+uaTIkGXTcvJA/uWrig10AScoVrnIUJ3rv72VmU83KZ++jDLA8pqMdQ2tTf8bc3
DyyDfb6h2KQohTYSBsYGTA2XFB8/MwtRTOIVR6jNzVZkPvz+PN01o6ne2Vb/XPx4esCvsywm9yae
6i+vAqWtrchlqvcYoFxaIzfGYiWk5eC980HWnzsNo0O0dEh80Sr5r3capiBRTQYP7mJ4zmYZdY+Y
5bKDZlg+50sLwuGDSqUaXcZQsVoRncHFEBO6RlURb0aVPBHB85RiB3T0C/o92ITP3F+5rXTPWNK8
g28f0egDnGKBeTAiepe3F97fHhoDPAagLtwj94/JcUnnasFnVPukLfASzR3o++UE57yl6sQpod7a
Y/9D90uzBH7q6+R5LoJ3dqw/N0gfWgTzRNuCYfjHMUG4WusrIdTedKqfdjjXa24DH5Y3FsTX9z7N
eqma1uM4xA6YADD3hfMDr/nlErEr0WF5ZCnml6Mm41fzRo8ll9aCcyliFwCXghrBPEdE4MQ3xVI9
VlMlr72C4t4x4ycViPk6d+rlMNB4r6Qj6cyh2+Kg0A7XmT3evP2Y/jxHuWI0PhTEHjv6ayJB404+
fD5eLUIK0ZW1WMEZJOhivEH/BJRNEoCZvzO0/EvBz6exIhB1m2zbr9+knNJhrGqLqMUMYLOubIdG
fII1XzkTRhsdeGpcFnS0/QVaIO8KTdHdGTMEb8e82qpMvI6BECIGRZtODpB3XVtcAq2IXU01q2xa
zMSj7YZf/IhLN2i6xkRKQeNkMX7edb7ezVIXvFaPXxyrT+8g8rM6Kzs5OAu6xFhi3IBS8CGvrWUl
DIZ6ilzhFaZsapf4upiPRgQtekKJ58/dOQXhPNuocliezNy+607YSzs+bjKZUERfbYNUQKXakaQY
luHbj/Kv24ZHHJvg5mJn95ruhpcWHlEO20Y8d8ktgmRAAdqXneU63QpgGa6kQ5ObhtYTsDlotsuD
Lsea7GASYbel14yXPuKNX3t9YY2MRmc0BdAvlbvpOuvLebTpKBHC+Smay4Jx94lIz/fmzX8WsAH7
K8UrjBOUYu6r/b6JHUawjd/uS5/DuJ/QpcNG55VwkuEqbkIsoeGxfnGCyN/Y/iDfOTO1q/yreiKw
HARvcF7gGonXFIowmGQ4TmW1N3OmaJXVTLfQtzuCBUHC8fV1PpXKLdapncgLwrxMrDE4ISdSmdiU
+TtXIlHpTR9DxYVlytnFRAmjWcj3zlcTLzw5V48GThLr8/wBaEOgrGB4nW2TKGkeXaWnAS4gewYo
uTcLjfFNGs5dVHrX1KPzyczdjTLDYzNAnXW9xd0RHgRqH4fP/I+hR26YP502y/d4pM976TNufGe5
/VlZBDBJRSBCkkVM19N38bdTGeM5WWY6MLVmSHEeEBSOHgkLJkKKDOXt0uUjjPzlYjKliXcZFQPG
wQwPFE7DjGEWs4c41eCcyml9l+v9rfbuHRIjmYurLyUTfcwFmUX4ZjHv3776P/e9wPKoKHjvTdrU
1y1ij8amLQBe9kbg7EXEfFFvFXKmKz6jUXlUvLPr/VE8E4bAPmDTlDlUMpwUL+8X3ijR3Eg6QaBt
tZqxuUFizHF8nsW058fbMxQa2F9gckAaIT2UOWeHNY+Ndnrb1DB8Xcgs2lj0vc3j9UF5vjiXupb3
TbOG9J//9jA9QocJ4izlPk1qG2iQa0ADwxSA55Tru/L27f/Lx+lXHKaSLWgm/jh2pHJRIlRyP7p6
1frFcTYoqJyWtUPv+F5HfI4k+r2C9Nnj2FFgdEJkE3SOL79e0gxMG5s02SdJ4h7DFOly4jT+ZnLC
HaMmDBVHSUWSljhtE7rkHlJ3jA5CGOXJwbbx8+gU4W029Dgh9TctxkNbonRJZhuHejvyjm5AV9qr
PFDlPhxRGKmuTI+lnYWwVQqmm0tX7khDB4wfGk/Pru9S4PCLrCfEpcraemNUGFpnQaAO9DBOsjaq
dNw4WM+uyUMnwxTpGYhkvW3i2tkTNGFfwuUwmKjIGwy/HQx1fXuPNxP3EK99zHSMDJ9ZGd+U9Mm7
BXeqTV4GkJAT/iCxjCeh2XZirPu7mUJtV+QEwPg45F5H2lFKUtGBCOKUvUqZU29KWdiXEFRdeGAy
zDZeUZe7UjnpZZ81wwjTopSgZJG9t/06wN+NazBUFIPvflSdcxMnqbUxQIdxOcRFWhqL+Ipvg73H
r9R950WzXxfqEOkpwrBeoyGGhhe8whPDGJmskXPKw6AIDue+x85hjZStyWSbWiqzCvNG1aTHR2rE
AHuZcQNT+gEiHdgEDW61MHuo6/3GzzZpnnzPrcxGU4YqgJPBA1L6P+yd2XLjSJZtvwhpmBzDK0GC
pChqnkIvMCkihNExwzF8fS8os7siIqsqrF7a+prd16pUkILg7sfP2XttZe/A75JmzAa5heNehgwR
bMDLPG3Pwjk7V6N96a//fFb1131iPggXtck4OShJxGDthlYCnMk67zcNp18PL2R/LChWMHUMG82v
Xmd2TkNYJNEj6l/2bTJvaBH9ZvX+unl+foSLwlBgCTeE/ssD5hYmaATEHoKBjHx7RftVtYprRr0g
Bumthmej/e5W9GtRwIeyd9oUN9wn2DZ+2aFiDTOUk7Ru2FSkFjP8aoN60RvGbrmBYICRnmaJ7li1
ekSQR979pq1l/FrbuySrUSCbFPD0U+m4/LyFzI3EPyErNxycGh8VPGr+2kRiZtn6gcRJH2u/9/bs
dg+0HfI9pF/1+O93zU8F3E/b2PodaJGDo/QQ/a4C8R93aZZN65qt5oSZk2tbNTfdAf98y0Vc75ZN
q4jGTaXevcHgjuCiu/ZVNaE6LXvTu8dZsmwT5UJoGe0sHGBeveidyaNsOqq7pA4ldKS7cZ47CHgu
v06fuJdNYztwVMfmyYxRJRAYaaT70e9vLDeuYS1pxW+KrxU38FPx5VLAEhLlWOT60Gz7VUwJWNWx
G47QcGBVXY5WO4V6HRukgFTq4vOX8IEF3ZCf6a42NAOS2YIXetGXbUGSaLBQgm0tehGBlUTxwY8T
gPNVprGu9Q4qmvlRo8U4aAo8zeDBH0xj6zbHcLSr21RdLEvSHYrGIQ1GLN7emVzFVBvW2Gr5FYuD
R9bpFxQ+1TpjL7VQ1vij2xU0CAcwzNumu5r4SezKColFEt/NmtACJxqLm3mpn5Y2s9iEhgsxDnxZ
m2zMuEnU2Uzd/kWrym///pWx/nbS8jhpwqOpdGkFW7/etWrfj9KFe1MY5y29k0FrAzdTl2k83kuA
fRC1bAOEmwHY2JmjwKTjFWSi9oA2407VUrpXOfNlQHIss6xUpIjksf7WzBlpGIu/nPhXnEuloPFP
RMQdaCQRwE7O7B6U8Nclq/0Ttzwd9yGSPdF3dtiYTYmoz2wDzamehmIeQhJbHyQN6W2+tL+rbOy/
7VZwrrht0jYSZEvRLv150WRpP5PfUojQUBzegOetV3MaGYLxxcmnGTwyMSrMeD0psKGlSZiDS5Oc
8JN6MErTepslJCnIopKP+D2Rd6Qsuxy6HmHSItNCc6x5MZ1Y27aI47Z6yzsy46YNjNTLgoHwqt3c
DvtpTgy0BPb9qKwXEieKzey791GSfuOuM8ADbQdSSTT3ECPaOBMW59301JO7pCC3wlcF1/Eyqbdy
nPq9Q29gbzPyCxlM8qIrPnLyC+s3PZx/9u4wubBperPv/K0oxM6eMKPk3QFF9IHbwLtZ10o71Jjf
jVj9po3r/u3kIk1SWCjU6OSaYFV/KZDlQK9KH3p2WORU24w59AvCsuSEzd2A1EBglqVH2RXs9eRk
ei0bXkv5RcbRAvu8oYIH8x8wTXxWfnRJvO45WkQXGqh8yEWY46zaNjPrWmVIXvlvyTRavfE+72Wb
cXyYI6uZsv2j6prl1lyt30ZDKJ9RVd0BL6fB5HAqL7NOd3ZEJ8VhgiT+cVRFe8fAP9oaZqJuawAE
gW2i08htgxaXszQ70r7VGTGXf2Qie9vjjzn4+czOsfgD4MfSvWxxV5xHnW25q/M87Navw8S0WAtx
9Shm3q1Occzgc/VkIEyXHKKmZxX2WnZlkkYEY7wEwh65UP2VwTg7SSot9FtCczoVa2HDg9wkruHs
EnpBVKAsiOU3VcE/eVt4SejFrHr09ZT8eZ11jlPkkkSd0GsR5WSC59eCzQ2WipRbV7Ag/v3W9vfP
Y6qIIp0Si4u6+PWW7uSk1mpLJchMlhQgNasB2Zx/RHPkHQh0aH6zGoy/F5Zc2z4xY1x4Geb56zf6
4ZLkIW9rzDi2Q3RM1i4FAEuDxXMuSdnu9+WiJ6fJx00bd05YV0N7ANTC3xFu6g58uUEIXMkoYHSj
YOLmDMyVg0pX/Kn1ym4RJRj9vm74VVKnau9kx3YtyvVwF1HLyZMWN6Ks3uZ1G4mJikZxzUvnGMUb
+sVmRwgX2zs5CduY3uQDgLLuuDjeuVBJHjJl+GhgRm6XUXzkbvFmJnx3DUd4OHvRcqKvZe6MYaKx
UrUPIIvZqTR2/s+jtc4ptVovTl5QlFm41xHcG4h80YiwmnyfUzLhFTxVSaGfxt7u91D3OU1ljhi8
pi7JSbILBklGkr6u1dlk/2jlML+XC/tbrnjPl4ZXPG9hq6As5uzJ2XYx8TdPKabTkOdmYRrnC9Wu
WxHlxVnvawlTgBke4J//b8H7DkVMC1uXmHVCKcZhO+CnDCakBZt5PXWzxATon+Yui4XtIjVG6oF+
gm4CwO6Y9Lp3NhoG+AM0iqPfx96hw7d6JjaKv1NMBVFGPhzCCvE3mu9+D6KivUoNVERlH1WcC/ya
GhELV0pblm2tjG5HwLezx6PkH02Z8uwK4e2LxXl0ZverRK8bEDBnHlmd6hJPjbVjB+MtFrO3J7SI
kiWljP5c7r7D40NpyidonAI1YQ1BInn+iW/1XNr5c3yurv813+f/QRa8Aa+dayGr9l9Tts7pUpET
8KN/8x8/9j8GTpvpL5PQv0Baf8ZYru7N9eZpszN4lski+x/3pmn/AamdUQiMLR1468oM/Mu9aRp/
UNHDjMJoT33mgt/7T4jw6wXgxwsCTlCcRRadLXodgt/35x1qMroF5a1Uh1LZ1YY+ZE2HpZH7NjOu
LLajYxqpL0DgJlT6w3fCN6JzLFD0/vDIbv78vB9xW+Rz/pPvYeJjEOuwmNnjLzWX5cdaZVQR5Oi8
Kw49Ufa2lWMdDZyBo+lkN4fGuYmQMQ/p6iQQpFeYcXTOkqnfNK31MADf6czDAok5vbL08mTBPglS
rxe0BulXO+6pNjCMj9TYtuhv52GmiwfbSyCi3OrD4wibEajKjkT6XSa7G5LfrsccuY9VEyDshFEn
n20ZX5MjI3G55g9DarW7zorfbDevtsgAna1w1ET6I1TxHVb4bjt4NApI63rpuvrBmin2oxmPj3UD
gHK1fYEt48F2ltW/JA6ZG3G16CHorU01USGX0ghFEhOmea40AuwaAqO8Zy1f7siQvsdBSdrcdGBq
clEmJV6CGM1bcz9NgihLKvF5yq+4n5J5FePKn+zKO1gifaYPf9V6y4Uzie9VQjK9/goh+tGN+fje
PbeivXMiYw8mdGdM2nY0AR6B3IoDhGfBPOS71aRRFepb2hAINyyWQa/H+TD9JTp2wkyOcrHkAehQ
s53c5dQb41nzaEejRitgrgB4mZ17WcTHVr/rSjegH+MwQh7vmym+4dwOGdNmPC1ik4py3iFu7J3x
osmsR4lAaKMTKeJ09005fSjpHadO/7KgFpppbW+SsX6BaBjOIj2ZjSXoNpDVFVUo6fxHXq9NLvBw
WTYdLzrt6LV2s66uYi16AYx0Uo51xy2WG6s7PBoWp4bxrZJEteqEkAEbCUiY2VbTMm6MXnAjM8sg
J3vMn/rXzOoD0+aSp0/Fi8ur2STOI/dqnTDF8lvVkEo6J3JbdRnQbcRmMuu/6j1c4UgHugrCmkCv
nWuMgVDJcyaNB1s+u227XGd0f5/VIk9dbt9Gk1J7bx6hwoOZP9qms2WUccI8tHWa8gBn58UZou+5
VhHHeF2Lx86WzKGalZlW67dm71YbbVyOdZw920Y5HgZVbRW60CVyL9XUbNF/hUpY1/Z823r1mWlc
QEgeCQb2TECbT007GPGWlL2bfoqKXZz1B66PqADI5WG+JvKDl9yo2LgsKxm0PoAqYNdYczdsBzfp
6oPD/fxcYy0FoPIeLWBExpLkO81oz41vtKycvKCYsXYzWPzOw+VWeGGT33BfC8bauAXfsjUqOyTL
5kn35EGByG17cukYjj2DDSbKr9jzarhbHckf+UuDTXFLIksEOqcajIvEdOlvLo+pMsW2GdwvKb7Y
IE8FlheBmc2iyzFdo2HfI+QMysVzTwQg7Lhvf3WUDYMwW5eTee3rw0h+o7gG/XRk9vNK+NcxHcS3
KjeOGZcBOqwYBMxKhmBZDqLUx0vyqyjCXQYeSNDvYqwtwRIR4okWcFcaNy0R3Xqn8+QRgsS6dvTq
9CzTctw6GMGYeqiQTD+Uy464IYnpVhYZGK2yfki9cq+SyA5SkcB87er3Svhbe3aeJHEZDv/D1szy
sOD6uZ0ngDRJ++gu7TXS1y/DLOtDQsgcdZL3RHjovTuCkZt8/A/9qYpJ05Xtgw4xbrGaL30hXs3e
DIcqutTn4Usz58/57Mp9X/N7oNuZtWrXKjg7xLjdzbZ2R2LWcZIUm55LsPmA6GfAUbJpUMRzuWiz
g+uNx1H38Bpb+6WtP6xc7sshe/NiZjrjHB1LOELnJmLll1isAqPxvtO5eJoERRS91x0e47CxVj2r
jeNOIpbedEZ58IgaNQfEuE3n8/71OiToRA/MjGC0yrpczXY7VtgV2eLPjV8y3qRFaMPFCXTZvWW5
y8KQxibpxy/cDW/wUTxoo3epq/5qMdH0d5mLeRzLiVnFxyW2v1OOio3eYs8x0u5y4bFqUXTO1Ri2
OYxauxoXakpuV5pmewGsMAEPLwJzB+Jvao69MZS7wdZu2loh303iHGWKdrZ1USK2Tr+1Vb3vluIO
px0GLi2+7YphD5e2RUPDk8x3reOeB1I1q8W+GLuR4vfCSfogRxh+qLR+oyNxdsSXwcofI9kR+dDu
83nYcMMImopNSIcD0ifRvm6dbV29Jl15JX33WbXGcSr8bV/Yp7HrD6Oqw8gqtwb9hYCO41EnN5Mo
JaBC7n0TjVucLIc5vWqq/nmWDEnIcMINhPfReBmK/tocFZ0QP2YAvk/7COtMFx2WNSiQ/JQHJ+rf
2nyIADpN+YXTPntQ10SBohxzaOmbh7EYyAi4nBZri1UzRcbf3mqLdZ4ndq56cjbAvzFfCvdGTMn3
ej7Fyt2R3XadTCCXliva/2EGAL/VrQ8qcK7bRE0MhXGifkMann7AkvuWxPa15fRXltMe0jx+0OcR
IFoCCq71X7wMk8vw0VOJNzNbpyyDTrRXoplYhNULS+SpmcWFW7wqD+W/Kl9j5iddnl0O+nDtchOw
EJPtzSg50xt8xop323bVhQtwYMAaONfymnDZVxlrBdEU9rvvNldqMA/VNJ9d2JtbEt2CzDcO0uro
qQxvwzJAzvN3hViA02df6Ye9S2smKgxzRERciUnTqSKVA2tih6pSFoRUZN5mTO+JibHYFBLmRmzL
A83eXtIJH3Y9zMnROi+ZdxzN4lr30++K+FILPgGeWs7Pio7ShDofrHEC3RHnEAkQfnMZ2/ltWzrY
hpy7QaogQTeWyv5Lci6LS7N7zJBOWI0W1l12VdNT5UJF8LVixpu6AjCHSeQuv1Z2Q+e5HNx9MY2H
SnbfEC6dkjQ/TKuPtjUvbWkaWCELsiLW23NxsidGTK7z1E7tO/kR0a63bbhVKkHyrXXM1/slmDL5
CBnMvh0X3yApsEP2rusUNlWFkEVZAXbHixxMUd4D7yptcVMnzhcug1/NaHiGArFHLCo3rt0+tTnh
H2P2lLntDgdT4BARE08UM8uD6pmDsfFiGg4sIe+aGule1O1nQ+xcpQVmfFajwD4NwolWK4iKKvDH
jyKRBLjf9g0OESaHUZ9eZ92Fls5bp3CD6Y40vrDq0EKX102EeZIIXtJNkoTzI+VePtwNHEXbmaZq
Nu4X/zF2zed41O/SQWc/8ADPPeQpGXpMKsmJJ9mdfnM7XE66vFXGDdF4O8iB5Je+anCbpsbIN9Ug
NnP2Po79wRlB0NYERGrNdDH5HeL5xvnwy6eEtTlX8QXNPWxGYJ18LhJ1g8yVnKGZgDnvwUHX5Nn9
W4pjA/3GsBURSW0e9cOguc95b1UAOp4a6IJLox0H84RYD4MWW5ZNSTpFzkUjnXtDPiixi6vZhgPZ
5Q3+V+RJbNbyMdZdWJUKrwR408uB8CVKy24hq6OEaus5OKlEQgoLyoojFEg8f3rr9y9izKunpide
ZUnFykDr54+y770bP+Na3+aW+qbGKt+hp9L3QpA0ulmcSAVY9wPTE9OuEkL/6pRFcutZ0jnpTSzi
DZu9PPhmnT9VTNt2hSHB4ymLJwnW91VSDR/gs0VkJXHv3/X4UC5QJ5pDkOh5sissHGlTkZK4N8cH
t7X173yk95Um3fKuSZDrEqolppnMuCclzyJeJu6vvQR5oV5m8qRrbnvPfY/6mMJsAg5XdreNzK0H
ojumQPOZ1M9ZMh7RatWnStnxcdBmM3SxWd+UoAi20Wx4x5hkmRw/J47soaqbc1ll8Y6zpib321+O
Gu6rs1kSnUgHurvwBxeSD5MmMAWtz3MHe3fuGa0HpTmfK8/Ezx3PenZPy9x90lt9/lpXZXPKeicK
Y7hx1/a0VF+AbPhXpFU2j1x0WD9eF8t3L3OGF60g7nlDaZxd26oXD8LPkjuoE/NtN/r1lTG24k7Z
2XTdVn5ymu0nlYpN56l27y/9dBdVhv2o2fasNmU6m1+Ep43h1JCLZC9Tcdsqd8DFubiXxO30r4lI
3YOsBo92/jS9Z+1S3pBZ398ITNTXJHNmR5lCNaAFvk4t1gTHyhtCYyZAK6au3zhWzcxXLQBmI9MI
KjuTez+J671cL9hlPpN1A8yMdm8x0jSzEvFsIQwOJran10wUJqASEtntzDVOdIVm9hQopLJIb6rp
dUogABPeEqi+mK9N/GQxrOVZ3Xe8mbORbrtZ7iuyDbZDs3wVRaZx4+0GlD+Reog059Erl2unyb84
aXGwhTwmqHzshXQfu08PmjOdmjTbEeju7IQrAk334q2t+Tsxc/7q7suoNUcFVC8YDPubU3CYmdmb
jcpkplnLXDXsUeHhexw5GGwxIW4n1OHKi219Twbs82RWD2ZpH1PduyrsAePlEiSZxTce9gqCo94+
GUbv72qte2GslmzmOKWilM6DstVjpBnX9UzvT2MnSpP8cp60Y+zNTGhidayNxiaj0iwOslwny4t5
PXuksJt2QbRXufOb5NykY4d6gqK8S4mXNu1QtX1YdoDU6l03PA/os/uqOxFstcEVFcZF+VGX3W+G
suiof2p2MGQXyGaQJTuokOlF+780XXCtUzEJZzw4xTPX/PS0TMN0PY21iaWvmC90p2yupipebtmf
kruRJK8HA2vbdRs1zrjpnFK9eLmS7+7nUsnXVTOv60esKylZ11S+rq5mXWfG54pb1161xPn9aJGS
s4I6z8O6Rr11tSLhWy4AkHdP0edinmKrg5GTaxdxxFqf11XvresfRzYUWMLjztLv/D1eOotQahgN
xyzKiTTFPH7DYM0M63VvMdZdBlrEeIwjdh69j6agsUfrwRUz+5LRUZ/HSdLfE83d3etVJ09osNqL
emn763jhNkYeuHFvRjTLUcXqPC72QbHuiFpcGd/NdZckKjU9JnUF77RJdvnnZgo2r+LsjLHrfW62
4H5ID8y95LWsqTNqffbvbGiNu4S8lSdlJVwYxpHtW09G59TMY3Jr+5XxNfK1aScRblp1xiH/eQhU
Q27sx/Vk6NYzIlpPi2o9N7LUnz/09Sxp11OFfk71ZKwnDSIXDh3+mtUxhtywa9YzyVtPp249pxjB
JMdpqi6r9QxL1tPM4FgDbmwCCl665RtNwhMMJJ8cNNPonsZW6i/ePPRowtLCfJ6FS1NLDub8ZQQ5
wqqxCNmqYxpQOe/mbnBUhfWbAs5EybmxpvLKBaJ8hbIpRcViJjAWefMsjOA1l7YDud3QJxE7RW+2
FEBlGA0sXG6q3gg7obvtNu0/P5EsXRm4xEW7nNOaC3gWmzDZZVVV3FRl5rx5jWmeZMYmsXfIymrw
Q9tUCgwtyxHLhJ2/W3p9q6yCqUeN8LcJk8iiLuG2EIBTJ3xeSQS0WU9mty7qaaea5i7htnkYNftL
W9LKGXQY8elCXbnw+s4F5FlAsjtfix6yrHkoehj52pi120Ur5RVuPkSZXNi/c4l51ohTOVuD7++6
2n5UKaUnqTvWTpcqZ4dNPAg+cXHnjQ4ByQRk7DjooQnpefrgEoe5YYCSXSSO85Aa2YOHnfpEhG9+
KF3K7EHqF7FlwB1SyZSEzqQoenoc7vjRX1NDp1dipB/zrBFP1iwJVXE+7ExjviTxT9+Mkv985MUI
Mle9iMGoLkrG1WHpTDbT9crcN3PRbhFOyk232HsvqTAMlSNZgYBeQpqptFX09g32+S11obnRnanZ
UH081tX0hHKsvB+J7Lw2vSLZ28OgPNy0OXJflxDgIkflCMOtBlJhGHsrc+rQc5dl49mqC5XJWqs8
+ppRB7Fdi2d3E0/d61gq9zgbefqSLuWrMEhWk6Ju94XLpFz6Fuy7pRh4rdJu00g5Ba1BrmZfOz1R
vwsye7gwJPIJm9PRl5QWtc51/kZgRgNCRsU0J1z5Ey+qnqqo5y88c2vFFUw6sK8e+DlxjC1RcOwi
7H/sPKc8Vb2IyNr09UPNsXuuIvebgYjzgfi6hbeADUWT5TduMR/kDD0wHEEaYqSwiAkYvKorhk6V
w7Mr/OQb0ltSh+GqbPKmk1uqAiiGc/o+z+bLWHzRRXZGyM8bAQgCeOnNYlRAtvPyw+mWu9moiBP2
BgzbRY8lXvNcE/BDGl91ram2VsbmSA5EgXHW47BitneviN95xFXWcXs1vk6Vbu1Ekz26OPAM1Ic7
jXE0N+O63cDYTy5j1zrN7pjQS2Z9TS2HBIjFdEtD+gr4ISTmwa2aQ9oDd0DLlxxiSMAvmbdeMmNr
DpcJ7yupzGimg6xXy2uU5nJr+egK3QEUvC1oerl9Vr9lcM+PseYAVB797Fj0dncdVW5/o/Aj34hI
m94j9p+TYTbuAQZ3/6rW2qpZqyxrrbfGz8prrcFMDW+UNlbaNvqszthx7UfAc9NduxZvA0/8c8rw
vzah+n81KeZzHmWtqcL/eoy1ffvWvv0JJn2LwZIe3tT3Iv3bVOvzX/lzquVaf5jrjAqJrIvEDOXV
f2NJXfMP37CZeFsu9Y1n/oAlNQmcwRK5+muEIRxT/GOupf+hQ8QjakVnJvY5DfsP5lq/jPqpvoGx
cQME+ombF2MAFdgPg/cs6wm3jIpoNwK1yLJp79hJSMEBtc3e//Cc/sns6lcAKr87JrN1bL8Kpla1
3c+fFUtidVEnRwDlqhBn+t0sm0OXu2GJ1GDxmy9SF0E/PvtWqLnLdSwXPUisl4KtxUyn01TUoVOa
v1Mf8iR/HOz9+a2QVnjwrkEj/uqRj+q08hHdRrs6mXc97emC3PpgNN3QiFswHBAcNRk4LeoLoCp+
rLZzRMsk4qYiegQp9e2/f0zm5zP/YdS4fiMPtjFiUo55iLa8Lz/+TSSHiwZMKtp1y5DszYzMkFLY
d7ZvRNdTQkRrLbTiui7U0KK/WXDn0DnpF0FLI1f2cUnKV60txW3UG8XJIgTsZNvpsXbLkBtTu6Wu
fXWnrwXRC6rnHlaVZyjwaT5uJk/RKRcY3uIN2Xo7q6MTDMCECQPNz2XbcKFC9XzWG23r15RONlzv
wj77+RAOSXrhaHejWd0tkdyaIFvsBsOGN69dly0sRS5G5kXsRPuhqS47xzyksmQk+TJL7aiRBbao
d608OeyjqL+ti3reFKZ9yP0nNahnNeQQ8maMQ/XkHu3+CTojlB2F+xfCPuw52RUEAcW3tHVTN7sq
PBEgXAw8MYNriC5EAp7OJqE0Ktbp5b1U5QV5T6SLWkxSY3pKsg+bzJvDNYWazvkWaT2qoHHVap9V
4oQIPSZ3hDPKZxYjWWUqtJpq04lnx/MvMvj9bpkfjUKgchg2RqpCkiwR61SIVcYgLjoeDx/j29u6
Ge+qVtzy96S9YR2G3pGbZVRIeTAbUoIZzXviXptlc1kS35SmHh03OtO6f1HbrEzl7fRMBlp6n4/V
QWuv5toNCSp5U1jvbfu9marXrvta4kePmQdArbru0An6803aUsADNZOeG6aUFrDChytwwPU9PebX
mCC289zwl3MRv2uU8ndATKo+INxhY/YR3TZpV19jq4nInSbzOZCqzuiClcX3bi6TW3OJqzffSl2K
C7EumshBCxIlR3e0711jMB+d3CQ/Y4yHL2DucRAzzuaO4JLC4BR6/CTrHHb8bEUbIyoX5qk5VKdN
JAZ579GFDw2nc7d9u2jcskcAk3wLZ3oToNcPpZB0tKdGxedE1emlNVjXou2c23ZR7l1vyr+yEf//
IfkbfDeHJK+/hYTwXx+S57cyrYf2l1Pxrx/7S+th/4GAgRuZhxnOsNGP/vepiNwDvB7wZwfEBHo3
lx37r0Q1U/yBTRmlCdcfrsdckP9xLFp/QEWgV6Bzbq468v9I7oHp/udjwQP7yscgRvFpTxroW3/e
hEXTlbWm5/4ha1N5IBg7DwjKumB4beFBibGdinh6yGFj7QGfiSBOlulRdj1BMUb63MZ+c9YaDwlC
JKeTyzjnrlM29CTJglwM9AyjnZKKW+mhkF3MeKCNnmzTk2fMJ8eujTBBDt5wAnp3pyE8YaeYkneB
qIEGH9ElpipuMg9bC8U2cjBaHTON4GawOTpTH40UFe2DT8xtMEV9xO4y1+c2s6dky0WB/FSi0nGJ
Rdk+JZvioJW+LQ50KqZ7LobJS1rX33Mugu427q0GBV2avaYmPW5chYfUtq+ykiyDPCny0wi3YdtZ
NnQpm2s9l8etPaxdGYGboyMO9y6DnMYRIQ7zwDofpQF6KqXLurT09VST0hNN0heEAwRD9HVD26pc
EV/d2GxGYdGCbdf5AekcG32Iw9ZEx9fxiuSbsZf1nT5m30bR2dh4IzTXybwG++gjk7ROf5XGJPmn
olJBwoQjCXohvlfjBFhm1O7V4Ba3qnC0fTGKqNzWdqTfitH16FrGY0IMQ2nAUTHYXghjGUF/bHL6
3TQkCenhjtDPt5GJsrlvoBCgKGzVFrYbB1tRJ7F2bJeiONVT0WdhtJg54DsARBF9nqhXYeJp/klV
9NJ6goyAoSJTSfbclNQF4/KGqa9PUsZWCRTWG3zgKgJWWReMlKRNN72xJtLgp1JtPL9zkci4TTPT
BJA0BWdt9m960sScjWzW5AjDdwUxL0xzdGC2WfrSd057XvrerncGLes0iI3Ivk5wBhvbnrssWgFi
ORlkYG71S3UtbKszbue89xjBZB1ALWSjhbsbbQOXsd8a43iX0QZJDu48Dc0FbxhROICQ4mXLVYlQ
BW0sP6o6lScXrHqMNKZu6z3aau6J2ZySFvM5qhiNdp0Rjf4t0tqjl+uA4HCLbQiY3/V6L2F9WQTe
uG68s60rBKwvRefeTNkKwEp1M+jS9kDOX8IAUj8XsAE3ZL3fKUu9R7V9P0B+nA17vkp96yAk/K5x
aC6zGL5fXh2dBKu4qiEf4CaFjR70bcWfzBxxcMhZHmM9t27S2dK+8zpvK3gkvtJvzB5ZaDl5t7re
APAfpw01rB760qy3/Kof1nJL/AwSDX4Gs/yL1MzsttP1Y+0k6XZs2xz2umsHZpc52yrXvtlpkQPM
0aKNo3U3njPTqZ5pBIxtzMvgxQfGl8QdW8mDJNJun+cuYTWFFR+aVZjkOBJm/axlG0NWXTAvi77L
yTF+s23EEo27x3qb7BaL9BAFi+1QemRE4RLfujZERsalqHkio6zOepo5r/4c3wNGS7cpg5f9GMH7
VUMW5naBNMNy+2AgseXrYi/drjXmneFN3SXxNBBN6XMmsE2PSrj3bH1n+KDxxmpm8yJP8WxLsZuz
okCnYTr7xm/3svaGPXXxtwLWCDXt/D3Oo2srGStGbRhW7A5ZwaKM72Pv5e/DEn/8cDr9k6uJ+Vnl
/6Pm9mza66s3hm4BIZ+rzvDn7b6sJ4x84C8PWowtO5HIzP2lAJQcT7W4TuhvgD8mYrumvZB3Z72a
0hd07wAbERtRPktnTNgn8bc5VNSUSplZD/4unvJ25r1MPQigRg5cMVX5/FS1pfFVzRHr2WhHtPUk
W7qEHMoFVQGzSWgfE0KWi9xIuAEkSEbaY2sINouyjk4MFhTWmc/dhFEwO0vzucugeyhOk5wSxoP9
7JpMjSkqk7YlUGjQbS30kjy76zONTlTR6O6xbZgktqMTM7ilWWX2ccgkd7gsoi4cfdpoA5mSGwtT
i24n40mgFkQhk5ysKMt2WP2mIDf9ZCvxRQdm6SN+H6y7RRr9Brtxd+mUkdg3ZHBtfcZRgVGlZK5P
0d4qS/PCIrPzu0Ej9LFVcbVrLDTOu7xr8HR2OYLpfQbKcGCok6IfiRZWi6NnLW83F+kqwCmf5ffp
3BnjaW4ohotsFJsEri5uDbS73FDk1vdjJq+N/1/sndmO5MiVbX+l0c/NAmcjgb73wWf3mDzGzMgX
IqbkZJyMNE5ffxejUlJllaSWIKChh5sQhEpEhocHnTSzc87ea89nDqKAssziOq1UdjHFlnvWLnxT
xqtx+cyi0NJcFPPOgzaMpQk/Kx9ok930NYyxuPM0/tXsVsnKPvlmWm4qJljWlelaOeKPVMS4CToz
W0ughOllQW/+IhkNFFRBYexFn7h0sXtjj/C7O0cGTaZKxPFb1KQ8rWPa6G+Tx+qFcsC+4axLJxLh
9qayrFdXRhaxTG2xhazToOQsCBtPOBKnnr2XBfZzqwEqOrQkmmmjvwhikAP+qLDOJi12NPLClRUg
wJou6877msTzuOXKfZFw8YCYpxG/SUiBFiT9yq6tB4I+K7Bl40G5C9NWgtsYnffYtAZUlcYbfLsy
YeBv7eukOzk4OBMLJrJtXbRF9CWKCVJqkiMC8dfU8hFphtdm3+PG0drbjbN+L5LRuka0/1G5cQi9
sXY3RKaoXTAS3APh48WDdHpKlgqlJaPpnRCs4dT7QXtbMIc5tq03I3lMg1VR5Oi4+/aNwyIlqee8
9+7Cly+Uv8ZEFWwKK00v3Mx4nqG17YvJtK7LJrxiSjmtHTCV27I0pg0hMtUOcFG0bjQRc7AokdHW
Wm8I/EOvz2oFDnLbBfWGU8Kuqtvuaq4thYtpmvbCrRGJjPY9M+HxSlpWihKdvDnin0GYtxYoS4wH
t9DWW+wF8dYJ+/RodDQu4wF1EkRFQcVM/PpAH1W6H7CzGTxoq/5OixE+SU7WoqvnisoWx7BT2MtY
wos3mZNn+2YYM3bYZZSBY5Sphj9OxF99zjr6ZeyRemnH1J4UOIa5WfY9+ZySFBED1EzHGKw9m2j5
vaHQ62wRXhYX0bJHq2W3zj837vpzE4fMx4buCBQth+Bzo+8/N/358wBQxxGHgfHzYEDwLIcEfzkv
JMvJ4XOF/v/V1j9UbS3ewr9dbW3+nJUEcfaPNdfyzT86kUu/EcLaYjyjVPpk0vwqsRfmL9jYf9Ok
pNz5U81l/sJX0N/TGsP/DKLzLzUXTUoU6CQF0dkjI4mQ9X+iFRlSvP3UicN56yDGxWNNeRdQdf28
B9fKgL9RWi6KvvS7Fv61UN6+9sOHLKoR3mXWVk6gDHpGVowsiabwnxFk7HX4LRloGllGfBEl81Ou
/T0AmiVQdptdQtc6dQO6boEQN+qvAFU+NYgo82Wzm719NquDWZN8TOtE1gyB174Odv7A9wIPk5k6
uI085r5z6yvvmnn1fmjcWzeywBesFhodg8TdVIcgTJr7wKjvZ9SKke8QQ8NSWhCr273O8n6KMRIV
894bfUjQw5Wog6OOi0tgAdelOz7VDhb3rjwDpNvWrC6y4GRMW2uyo4cZpuiGVOaH1meMO2Q3ReRC
xkmWmZanDnM09CuKrNsuFgcHxRgC1/5bR1SwGaivmcsli01370T+kVHhlnrtzeicTVMXly5A8N/c
eX/lJPV7ONVin8ZsQUSHQ8ebu+Z3dTMpmXabID6HjohQuqQGQWwUD82NN003QsHYSJJ8nc9ia0B6
ReH1P3jXfm9K/exokxVO/Y4LG9vj76xkZIkEVWiTF8XKBJAyvQy02o2mtFb95HnbPLFv3Cj39zqa
zyiQn/oydS7pwRvHwgfXJlYfk9Op3UzHF0C3k+4EierbqJovR6kOusnztR9Q3pkdgzuQYcx8ZLHZ
l8NE4gSzuhUsvu0AEQse9xJlGXmovZyLZoTelhDitNWt/TYN0bQaxvlWm+l+bnGF8ex9cRr7IhLj
VZDpi7JJmlNFdN+vUer/1EJ6lb6pqq2+d/+9fNtbBVYtRUf9+ez+5W9/81/99E3t//18kfij2rx0
Lz/9ZVt2OIBv9Yea7j5aVKt/WhyWf/mPfvE/Pj5f5X9aJgk3cmzgBb+5W5ef8uO7r1+Kj//znw8f
JMjFL+XLT2vkX77z10UysH5Z4p2WAQWv9zlf+Y8fi6RgkAP8k/wc1tBfhzI/FkkrZGWlZwVG2bMJ
8wm46374kCyPxhSTnOVgSnnq/XM+JF7xd6ukj4cXVF4gmA0s6+XSuPrNxCbNwds7GWLB1uzufJbK
QwHha13RpN3Bhx8+aGIzQGXkc9BVMa3FKBlGJz59bmIldyEaH4jq4C3IgSDl+7Zl3LGzyCk4UvEW
5Erk47WI8Pg6QczYMQqrXRdE3ruyo2o3yzETvGTdvbZpZLZXGYdgc6XG1P/qe1by1CEDulqo1QqP
YJdGK6XN4EJA4jmmKCRh8sReKA+gHZbG9KCoIV0Dkmw5vOGmVwRaBhcECPdffRtZrFeBAFhxOVLM
t5NwD8oP0l1jzHWOzx1CKLLY7LEsOIutSxQ/88qWI/IPpONGuS7DuLhhjuVWAJmtutwkRuhd6ShI
y/3IwfGxVGb/jH9s5lkVaQdmIovIaElHifskzyf4kT7c51wNtKqN0eecD9HxpiPv84kBSwrMW6Xm
BUwIDo/DdG1NVn9IrXZ4qxBcfjMciW+qlW170+WjkWwwcaA+k5b3FJmDc9k5jvGQ5MJc6ARYnHyI
W8ep6YfbnrJkq5w4fg8myQWPMSHxxiWaj5z3rkHpe1WgDpUmfMSUKRoLPuby1de1d2T5dRX8S9Pm
TYJCXMG5qWAGZNaNXYRELedigp5H40eSr40jJ/b8dE/JXJWryVJHNwFL07fDqRKtyYnUpp1AO+xO
j6mxGrK4t2izz0TQAW7AK6vn4YWQwOw0MFi/4obSGc2LgAho+inuNpZCUIOGm35sCao1rX4TUuUe
GKqlT3VbdZt5NBBfGZW8MwzBTCEYmxs0ofG+osBZG93g3CRhbm5lkMUHH70I46wKvYLRNhi9c/Nb
M8/zKXGRZsJhz66mjBtVVYN47XKycEwHz2le2Ql6t+ChaYb1EKpqjUMFkls+Dms7VPVj7aDrj3Xg
vqSWni5SU7nrGN3OzkdH5wjVfjHN+rlIECVaYmRM1vRP6CkYlJW6K4npDr30vkCFrcbsXKNnJDXw
hB4kFvigSGFnjgThdtXoWuNygZUKLtHGL1u3cfrAcyCuWvJ67miT+uXB7MbsJBP8Vi1BeA9ulxGU
UcF7Cvb8IxR59egUSPuUnO7txmwOOffUNZk82HMJco5AIIbpES1JbayKygeqlgXutVcEDqKIZrG8
FVWEMBgdv9kzVVVDQYtgGqP21ZQFHUOtg/BBlBbpIV3KQhH7pgI45vnTmeoT0VeT46kCPmEtmVzx
uR6bGBlHF6d3YxBM9XrAxkXF4/fPdZrV12nqDqfJhFaPvR8vxuD0M69EU4whpnUX2mgggrlxUCvX
Xv8QhKP9qAsxIKgep9dQpsXDhNZcHQjVcV+5v9Pvid87wAc9jC6A7O3kxaKbIumEBH1JOIgQN5nb
lBjXCtujhVE4zS6vsmY/xE1HjJAXJfta5+UNLRHnoYf7dIqUZ9/nResQAtHYvMmi9M9JikadWWBj
bU3Vxe5e04S+mYfMuu1V7O+zAQk3iJfiLeMW5lONHPuprdruks69QzwuuHnmFikqWRlcl2UxJyup
JuDywolMQqFq60AseXzhWX12aQV5zgHC8yxCctAUPRiIHzHg+NJg5GeJa5F3xW2gYvPOtUe7XriJ
ToIOcBCPsSxMZ63Z69+GGT+oCa5mTbpX1qyV1yyn2lOG44JnPoNwsArHXm0jA5xOWgwNqWBpkJwc
UyaHISyvabV0Bidqz9jUziInCjvrMAZWcetnHfY7Htwt/ZR0r/i/lTXM5X3bO9Oqa1Pa72l4g0Qv
vsrHInjLnTC9GuIo31l2NZ8aRZhX7Bf2QXSe+ZrPTX7V94wDsjLq9knhiQtobnyGduxfRmFDVoDO
iIwXbXlRTlM2rytPD1tRFK9WKyuU44Y6OG6Jry1pdn6gv2Q+fQse/eRo5VAZGjvZGAzG390q/aCH
LrZ+a0zrBKTNuq/w/EmnOaWG2+w97blHpjc3tuEK5Pe+AT2wFIcJPA9SnuiEYdXjSOeP5raTxvR1
IqwFbyI6gVs7ch1nE8dGvVXMaEmRfpgLMe4Krw92VVJ/leZkH2XdWRvScF4zox/kyYYzzjQp1BC+
Yhe/oqnncddFbn9nIdS+oieJoiyvu4UIfQGL+Jse6wNZ8bSp2xkD19jqdTHRVAkq+9JiNgVELEGE
uPJVmDAgCSt3UwmdXdhk8xGfUc8T41ovkvjaTf5TV26xp6tzUnkEMyfypmbazAnak40VdFMBs3mo
D72SL8UkixNCZv3syBoyf5QgFMumrt+XidWY65IYwzsyXdR+boYAtyF8wLXoR8greLSKHZ2rmFY2
w7NZG85HASgZTSVGfYwD4JA4zBixBAOi034NQJB9ILXbalxNdlvi/5OZ/1YyLbkRfjfcpHnSEpRD
VSQGNrEw1BNhc7h/q+CGXwvGGEb/7AH5AlZgyAK0ka1oGJ+iKHkPud2fZ8/fcOy5In5Ko3FushcW
xOYu9UE+IoYr4CaOLb5Gp2qoO6k1M8RZz0bcmNtYyPGUOeqTBLnI8YaOllKoKOmC3Htt7ZxBOj94
FVuI74AwUQEVhtgpp1aPlejLA6F+eEgEegBQDec6i+Kn3CvQvS8ICeiG8uvQu/XOFjNOkEAiez7I
LlaHoWRQT99e1fBSS6wEWNbLM3vAsEeC3F8HHm5lmwPZE0Ky/DS2xnhqbITpTtMwcICkwYYkvMuZ
yTt5eXZKk15xrbywm9/sxjMPQbxQOL052rUFg3S6aN4+T7w9DPjHyWf02HkpIgXQD7WjNjZwK2HS
vA5GIm1WQaG3hEt9OC7lqFdxK+ajv7VNBoUsxJuiG5gM+sbGt6dbw2mcExnm7jGvJ5CAeI9f6N3W
69blSOG1xRLtU5q7uiPPwZ5tGsoqCG7JCCM/JGoG0FBtdFUOVrZKpwgVtSzp0S0wj9Sxr+NeXyD5
/46sOklXiCLMcU0zxHvXOB/d2Zvylc1R6zrMsciW1KYXHXTxPcSTldkO7CpMtPqHjnirx8lF8j+m
Y78brPHajBMarSEoSTPxoQD2CPcRM8DrwDKwmtyasC6WsmTtOOMz3wQMqhDzKy7ycYv+OdsRTVte
mnXufOF6L2NGX5c52NpU0HjHpOnhZz2UBGFhyhHitu7Zy0HxoiFsovyGYAJ5jQY0ukVrFlwWRFhd
EjiQMyysc+/MEwrzsq4TdUkdUhB+YnsfsznGeBai8sYZbeva07Z/0kp6H2EShVf+EmuaDkl67zAL
oMHvu5jKmzJ9Nqyiu2LZlMdmzodN24i3WPfhQZSZJH0x09cdPZxn110SQ7OyLFG8ZDXnIierr+qp
KTj5p056rIq4peT36onVo0tXdKBLLLaVPoRK+EcciNMd04R2hlGiT1UqYKoZIdqckTHJ4LTlzcg8
uvJFdAbumT/jgW0OjsCUMuUgERVncPhDBI2lvrUtFD52KC7VtRI4RFZgEtHpONa2RDSw0aFPog4R
HV9MShkuc4CFULPgcX6sviZl6n0LS5mfrJixKtIR9zKwuloQGad1vYIxmdzGNhrPQvsokMmbe4sm
STMgZd+LApufPLX9rhXs4yMjygtgeo9+18dfAiPilIkuf6M5ECkVY4TNkfp20FoL+TKCXzuzo46M
NjnybkxPE65tGhuTVNANZVa3CurhLSVM9SEP6+KUqWHitu77I9pB60T8mdzabW5uxiKPCB8N1iQX
sEA2S0CxfB96M3yPg9o5wksk0zGdzJU5SPU2Gcl0IXufkdsydgS3VRn4BwjcooNS7cp54PK5g3tj
eMG0n5NcnQddlvCfq/rV5Ia5RuLfHzO7G1aoA4CuWi3HCcJcD52YOqwPJnadOJ3uoyhtOS9k8iW3
wplfpZbbopyTN4oxmymhIpA0AljQh13zaBjzcIcxCC07ET3Wcykq41sBL2aHVqA+eAQn5rhOJBzX
eSwoerrAOivaWrjXW0atOWL7PgzzXUAjTeAZBEZFJUdMUd3yeXkMeL9O5ThwZw3+vlok9mWkrxwj
WfuMT0RFu93XPqPHNPgecuAnhO9yLENev+7WY1+CyEntNcdT85T7CvW1KD5oyB9IenkIdMDLWH16
TtkSGaGU06ENRLybXIUlyKm6I6Gy3XNjVv0LE021DUXkPxmIUS6rqYreDM5My8ikxGqnvJAheexC
BurFlTPL+tLv3OJZBJHmbOR5x8rkSKsdAxl7iMuHIBI7NQ/hTP43TG5jvGzKkiWeSVO4t7FQgX6o
mpSjfhXsIthcb2Y4MRqLWg+Sj4zEN2R/PnA6M8ifao5I25oEn+tumOVXAl/S/cQcgagbZ3zxy4Rg
Ajgo1lnqiUgA5mm3sWEwtPTm8ZZg6AHK0pAT/RSi4o5gJB5nOhV3YRGql3iKSGhScChwfYJdmFvn
KCa32Pr5oK6CDloZU6va3+qOQCA7aqrbzutwzuuqVx/mHPcPRukPYoWopr3yvcrfDnrCIglnOHiW
rdPsRWt/T/MSyU4CrRB4ROqcg3gBJBBV/cTC0a2xP5JsXBuexsY/20Qv2/bOmKbiq/ZyTq6zkOeS
xx17u6yuI9V71xLaBFCldp42VVIiFcRh254Jz65vOFxn9crBe3lQmb2Ed7GJ3sUMV0JcWJ5k5l8Q
r2bN6j6rOcNiSMiLQ2GjCAypYi7t2IrXjcRG5ZsG1gF0DuupzeMnNwvSfaSInGEm3WfHofTtldcO
86ngeHZqmnn42s8Oeh9OobegmdhN5sx5KuwRr2dvZa+x0OxF0TBfe7NXo2CpzfhSucwwy7ZHe2TR
p/Uy6R3Nusf/MDezXWEG872X3gWKtApzx3xB9p83NA/m8Yub94JeSxa2NB4YMkFiCyuNDa+1tk4V
UO02kTHvJpHXV+zj9XMyRvVTLxpvO9cuhUEAUmsK7OoGeVjw6ItcnAKI+SsCBj1ot3aBUXziiJUt
wpAV+V79V0t0gGPMLLmJ3NHeq9aacSAMuf88W5HBoQGKSFcH8sLIPU6dabZQPLTbbEUTZeeM3jkf
bfBSD3RAksyAojCmO3OiBuf3sNY2BNredtAsBqyu+WDkpOssvQer4FPCbGdtlCGLR0ea9GVzYkC3
iDP9V8OlvhjnjONSmPsQDITRoAZyrBrJZRqXa35rjrdYBu/TKJNXqevxZu0R4Mfo0m/+3x2T/Ru2
doVrgc5GN4+Inv+wUeX+vSbv5cv7S578tsP7V1/gR6+XARaDLXTWRDQsevs/ixCR5tNmNZl5oXxz
yHz68zzMEb+AKmQ8hTMYUN2nPPFHq9exEe2LgI4nQzHk5Mwm/tTy/jE6oVtOx51m+V8ZpXA+/6nV
ayCLhKy98Pp/bvG6sgOPknckpA6i2GnePMOgmu1lHdSsKSsnLOcLYZQBS79qT2bniVNlB4le9X6X
XQ/1jFy4DCav2NAWVE+eEWnCm4Lpqc6K0F1z9CGEWJEsIzn9NeFdAWPgVuSmO4IwLfDnOGKu0mZV
U9ACA+4ttOgQIlE7L5i+V5QKRn3sMeBctTTlT3K0hpc+mspXTrEQXVlZarp3pULW7GGrQqTdYiIC
3+1/UxOuKQ464TjtJ7PjobVppzbHtjJ4ikFFuIAm0Cg0pyzw09uRioU8vVk1D55ABqyJzQH8p9HD
of/1n+0pL87jaE0GO7PNbqMyVDA7e4IshAg5MZ8b8u840juGStdh3om7sUzx+RGk3L9lHjVSmBXu
yUKWductkUtNkNr3tpfpLwj+vHNBnNGdKBgYGZ0bHpgRzvveHEt6JxxKL3smgih2QCI6NGlpFA1G
sEOYD6o1tnXyRtoBn6MhW/yM0vZ7cKf5MF/Uhu98Hygg7rHDzx/pUBTkn8Z184yex72hoGXambQZ
JU3hZvGjcGVPULEuunOCT+t6wqox0MNhgrnS8dTvc5nGI1PAfniERWk8NWEKRood0nwMtAWrOvSh
0GxTQ5qoyhL7NbOGZk8QcrO27A4k1mjG7ZmO17LzsCeLbVFH4QVig+4S0Qe+zMZBPC6yJoX0h9UT
LaRVdt8KNzdAj7i6/YiLaHzw+mpgZ6PisLDxGcFaRBrfZ62w+sVVKeWmC117n5NdHN5gDZcNYsCs
pEBb4Oy4/2VFt4j0ThQ4BOm6W8gghrODjCg+YBVG7iaRDYjGOivreesD27Sw6xcZAYaeqr/Nrky+
movzzi/SsbwpvBHpI08NGjp/kMVA81Xobs2FHTWREgXeKd0T6blG5VSOm9SbkjvPShrF1ffjr3QD
o+8UNmI6KWnDjIr87oBBU1tv+C9MxiWKw97eKSKKR35WRzSoot1+JgvZutRhUlLASUmlPQztm/aT
cWuoWpcbMy34e2u3xqVlpJhke80c263mOTt3Se+DTxoj75gNU/HY0Hd8n+BUPo/I4oh5DyNRb8q0
IEHXxDqTmUburhdS1bFOBHE3SeYL9JuG77sbXAQyWJtV3iG2DWO9m0LKClJ8p+Aj7JWPn6ANrW0g
pEcM6diJW1NH7RFNW0uUVaHHe4Dv7WuovPZLliXmNRAChFK67VCmJCOu01qF/S20nvbLoDxvhYSz
uphnq4FtKwC6jkGG0T/to558mZAS0KiSBQpfSq5FUcWkLWd9/WUq2vyitHIv2UIjh/qWEQd8LLsY
LosVOcieuSuHlTSHCpSA13tUQMKnl1f1byj1OLVYmRZERk5zdyVzOd354ZzQe4uIgwf6Mo1Eahve
3qqleSRaeaDDyMf4rEiEfu+MNqZX0ZnTlYnp9krDcbsKAUElK5uQgruhqNP7vjcwzVIvWUdzINrJ
bSN1lwZDf9PGNu7MhXK7iStdfq2qRGz7eWDfR5T80GmWnDUd+3kHp0xOdFxqWCSdCUVpdoPsW5kO
1U0mlbdtG9Iis3AcjzpS8/typA2IEUsqC6knJ8KVzxis3mCGSRD9DnH9jKUqfxZWbA+nkAlBxbFC
qBVrePfIp8OkwkTuduMUKKJBdzTTyfBGTuZD0DrhvqIXvIlSQ+cgtZyh5l7NqleJMemhcylzV42p
cULTIsm+WZVLKH0z0KZsGlUxItNu5+0IbreTdUUuXrnqhJqZJNVm/dRmCPTu7KCiLOsmh0UHDUKz
cQxMQBdJNpnDpufyz+AyOoIw/HrqQfTJwXGBkkytc1M3tboCboXVhMbXRHxzTOy8aoR8HZM4+Z4Y
qtrUrcn0xFYt5Y902G6ERBiWceBL1mjcxBZMB6OWGKkVbVM696RBQGZx+2ZMVg76y5MeenhiXi8L
JIBVV9H5tqkirbhFbxtE43moG1D0Bv7jfU9a1NHqIr3BpCndNcAub9w1jpNdOope+dquOgcxiZPs
eyAbekSAnDCHx7jU9vPllNX1VhcFBiuzcfETNH6RQSbIy60pnYthpMBfZRJ1KyC5vrmt6Xl/cWQw
nDpSUZ012UMexlXg32AJBjNFmy+qE4+NV30pSB0nD7prD8IP9l0LCZVZnnyWgQovsBdxfoAFg2W4
DOUpcRYMjZUpmutpG3nmimWnZB3yjL2y7gj9u7WtKlwFZj+/S3YDNuq0e5A0XC8w54/rqYiCtVu2
3R2Fc//dZfPZO3HnnJj4vAg1wClE6n+YB3TJdte2j87oOQfao4JHV0rgy4EFCSwNgXFASAzP2rIc
AHCDxhWA/P5kRR2l4JRqpBNMUFZOmiq1GdJsvISv1l0SL2MiKo3yK+mxkC94vIZ085Haaw1IwtCr
zreifJ30hrVvsynMgNc0+XFO2+oOQ508jdxql0HQZRdzmLoXOtE4pfC0tF9xgYeb1iuDN6jtdrny
S7e5cQsZ3JWFKQ5Z18HMduuIKdto2O+QF+xNBErttsnoSzQkE7vbIo/dg+l19aNZIvAYNB9/BVjj
a8G4t1gRRD5DyfVjk2FiJq7LPPTfrJR5yJa+crX2VVcvAh4sbF3TPTQ2bq4xtuqz3/njVakybB1D
nmGL9lpBwSUSWKRmSvSirJ2OM5ctvkGXzKZ1BXH30XdTBsLeUMQfUdIkyIcM5zLTNU12WfAUrgbG
EmygldbPvTuJreib4N4g0cpkAYjiZwFzh4Z22hMD6ifGtxxPXEptlqFbCjN/nwS1APXnO6dwHPLv
vF91RsjN5G7WNHDnemo5njGupH2tgg5fyoANJmsHL9s4MerylY866DaIVbATuPOe0Hwjk2rK4oUo
Eo4adZsPDN/baOhWtGVLRbnmxHs+quHSimMiSkUaqdtUObglqtrHEEPsIyuVXY2d3NY6UelJZIau
9rpTKjoiUDTjDXNGX+6klVjXbV27X2wx4O62WzOfdmlfLINu6MzESNoquEgZ5RZgasa22/SMkJN1
gMGQiRuVI/OQaVDPQ5eqbKOYrVTrdJbRFQMFFPU0LpIjd0jI7MpOO6blgk1tIAGKNpfg+reBpu+K
pljjCCrkk+smzR3tu5bkR+qhu2xymZ9bfbw2bFNcpK0X3FijNj9S+gZyxV1Q2lv23WWqaAPhWeUU
0/cwHtIEljZHgtWg2qTcxikpVxvLoIQ5B17RR7uh99yDkHbFaD53GSxIrPUOwSOyW4ITWsBofApx
vB7DSux9QvjupLTrZjOHQzCvqlC637MCWcWmDA3rMfSM6SUNDPM9CKTWoL9o7KCKUh0MoJE2MQPw
BtyszLKaGUiXrBkCx9/tuErvuhmOwBTWFgKPtJ3prAQpgMRK3Wq47hslFEtUCa9gN3Fqy0CxEUYK
gCZgndJ5gPehjV7CobHvzJIjxpZTb2hAww49uR2xCS78FWl8x980c0bT6hjS3rFXc99UOyMqx60S
Do+Jy7684c7W1rbJzOrFCZvaPlPeyy1wTDiJtT2eK1PW07qsqwFiRK2iBAE4uYdR0STnSObu0UFD
e5MjAlGrCc8iIQ+93YDTc4agXwteMn4Eas17spgLPdV4jtpNgzf1eyUhQipHMqOQJkN2GTWa8SXU
fqERtytF1HSH33UL7LKO10zgUfhOsTLR2tGK1zMsUizNubfyzLh+SaShLnKiOTjgWzNxlJ0Vfp9c
EU17QlLFeIV+yHjA+sCrBEkLGoIpFiUZNae97xwdnSru6bdJhhyaZ5gkd+zcEL4cCCkXICZKskxM
nLlgWZy9aTCO7BsQ+oI9ZBsrIlB8O8mJB8zo/rlZktFZFHobVkh+9NRqwhg69+SiwvrKOYAwhjws
yRZKHYOHRlZQF5l2YLRpMNIC9duMWa7vKlejIiwcCXg/agAolY2Z3gpzllurhiC18ggsvVjm/ltO
cNHW9qNXzqnh3uSZ3Fa6YwiENeCbrYrudTJND9AELlUC0eyc0V0lbuPZascV1QGilgpS6mwUxXqK
u/FhHKPzlHTWs8Wk/NZLF12LPZIfF/neeArQ7hzcWsYXvl/nXHc/PQUJWAzUp6m3r3LT/tKoGadH
lVb+ckJHkMW0NQXz6Lrgkrs44zSbp+arxxJzSDmWQuohEOcK6dCSdOxQHCtyr5CMp1kH72OWR6BQ
HKKZw1cPFZEsO45w/tkHgHLvzhVtVcbd56qFxDv4VTut4gxnYGPUMU37gARf0oaCLZKW5IFHLwKK
RJ74mgZzzfIYp6wujH0Ykpe4J0qCy05OlPjn3rV9KDtoPdKV45v5lWc4+pCkiXOd4hkOULdnUJhk
E0/07Aj+SEwtjlERT3BhdNbdT7ZMHzFK9+fQiL03nl3rbCET+mjapN3BdolAstpTYkDida0vUJY5
1Vt5dvQaP7sSJhKZFUQbd110rFepRmy20kEBaKOkpavLotjDQoUuCJkItIlfb5CHjBeG5JfNBS+y
QrnecGSNaR170tFfFFtdwk9r5G7J/t6kiPTvIxsyX5doA/qwrm2GKoCPIO1mcFQde2TijEoD1PyA
ltUVSflgFVa2892e6HPX/i4oBtmVcQy1m1Eb3eXkjgKBsqu2fZ4H5Z0c3eHJZ1Pms5wbmvKghrv3
3B2n9X9RnMs6Kh15cCYM2MzWx3Fj+hnoQsb43g3NVmL8JBicHxHg/5RG9KEq+N/fFYjuP6pFWNn+
/h/9C03EH2/xrwpE/9w7W756rtKye6j+oCL9h/7Rn5pwf/2F/lHFqb0ALn5S5X++qU+96997DfmC
LFa/I0i18EBbpmu7rm1+/kHxLqsy/vFl4f+yaErhQCCxX/78qm79zTX6W1fh7/+CfxTj/vF1fvoF
3ihau0XEC0Wu/G1rlWP5P3YJfvcKf7kENi1Tz8beFPy4BJgCfnsJwsVhQLfC8X69Qr9e8v/9S/Dy
DkKaaqhT6Vv320vghDZv+V+6DRZXO4JGNOb44Zc/P98GAV82AZMQwf75g/6Nfnlk0Jj6XUAu/9oF
CH7xab9TIYC1+eMFEOIXIhdceu4Eoi5/EFfz8/6droNDAva/ehHCXyxy5xg3/PwE+L84kH5cExzp
559/u19e4AT1l8Duf+keQCbPk27zOAW/fsjo2n+7ELi/mB61HnFrv36Zq/Rvdg/8P+au7rdNIIb/
K9Ee9hgRSIBqWqUsk9aPJYu6Tnt2Axq0kFZH0JT/fr+74yiXkE8jLTzS1Gd8ts8+f6FqCU0y5fRC
FiFcr++jmgqTuiutj6hQgxDQBiMfITEXFqt6ELK6LEJIfnA9tlJ00eoDA7NACOv7g0F/dIXzIAQz
6OfSvh+dsWUckcUEA6ePvmBhEASA1Nh9mARDB58+HFSa8uKOBGR9uVxViGoalNE4smxG6zz7QJR2
kYPMSRdumnouTxfoHjlsVQBZ90YQ9qBSBbYoXA0wFwn3uYiiVIS4NFHAgKIh1BdLFFy/j9A/NCJ6
zKvHZobQgT70YUMadfm/jOTdFiJQ1xyqQ/+113GCp4BDIQQjjJB5YOmDMOgje0omL5wuCkfYT7U3
NUnSLFLOVhoXjYq+gz8wnsg2gMrDuI3gB8GNsH4oq/006Liu/ru2CKysv8YfjTWo1qn+vfrA7aWt
tcxXmZc3aSxILNDsTy1doakrCMcYaoHuj3NBUVxYSSYoB4RwviP0+YOFbkMG9sIvCntCmkwB4YNF
ehkJA0YSXDstXGxvSKw3qym1IcyGnOa0SChrpTSKemFscpe4ozwvex8pf/vUu6ciyVOLQvDFpLvN
XeWexBK3FS9kQCl299XVARs2+DTbAKwsDy7g7/RSJBT9jeM3C22Z7WRetNbj1np+H49PKUrW7TIk
s6n4C/yIUqBv4EiCu0PMEzQvzsd8XkblIomFWBtYCrjvySJ4LtHn5fKZngwcDRiGtHlxPtYP9EyI
pJB1ceMG7rAD2D9TzAu1Rjp6TjjqYA8fKU+z3oyi0hBAUgROj4+TlEvqXytMR2pTLZW5woX/Oy5W
vS8xSs0zg6zCXtsBXOhTgjKHwloJi8cru5sL/Rtmhgmybrhqf44N+9XCuL434MLFqVx3QJmli9cn
7O5tgVr/qGjSHzepaMHcAdePRbncfTwh4jZA2qhZ+XzB3T8wtbaLzrM0HoVs0GntB/CWrTU7kN6T
emQzP2SGLtxyqw29paTpa0l0AGWriv2NTJmoT+M/sHFovbkLuFL1OjAmv8ZZkhoSvJNF3tZyJe6Y
jkNM4kxwYkUpOqzbZra+cO5AiCdJQqtVWmytUF3jdSAG6pxBMvomd1YrdKAi7nAU7ITfAQsd7JjC
3ORjk/WZy7Tro954GfV2cjJaZCEeESK+Abcb9w/om3VIbtr8zTpMse2FmjBc27/ZLrb8xSKLSVz/
AwAA//8=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withinLinearReversed" id="25">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7.xml"/><Relationship Id="rId7" Type="http://schemas.openxmlformats.org/officeDocument/2006/relationships/image" Target="../media/image2.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1.png"/><Relationship Id="rId5" Type="http://schemas.microsoft.com/office/2014/relationships/chartEx" Target="../charts/chartEx2.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577850</xdr:colOff>
      <xdr:row>2</xdr:row>
      <xdr:rowOff>177800</xdr:rowOff>
    </xdr:from>
    <xdr:to>
      <xdr:col>10</xdr:col>
      <xdr:colOff>603250</xdr:colOff>
      <xdr:row>13</xdr:row>
      <xdr:rowOff>171450</xdr:rowOff>
    </xdr:to>
    <xdr:graphicFrame macro="">
      <xdr:nvGraphicFramePr>
        <xdr:cNvPr id="2" name="Chart 1">
          <a:extLst>
            <a:ext uri="{FF2B5EF4-FFF2-40B4-BE49-F238E27FC236}">
              <a16:creationId xmlns:a16="http://schemas.microsoft.com/office/drawing/2014/main" id="{03C4E4BD-D052-C49E-866C-6AD4C9A15E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15</xdr:row>
      <xdr:rowOff>180975</xdr:rowOff>
    </xdr:from>
    <xdr:to>
      <xdr:col>10</xdr:col>
      <xdr:colOff>603250</xdr:colOff>
      <xdr:row>27</xdr:row>
      <xdr:rowOff>177800</xdr:rowOff>
    </xdr:to>
    <xdr:graphicFrame macro="">
      <xdr:nvGraphicFramePr>
        <xdr:cNvPr id="4" name="Chart 3">
          <a:extLst>
            <a:ext uri="{FF2B5EF4-FFF2-40B4-BE49-F238E27FC236}">
              <a16:creationId xmlns:a16="http://schemas.microsoft.com/office/drawing/2014/main" id="{5BBC28F8-9EBD-B517-F303-F24215272E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12699</xdr:colOff>
      <xdr:row>29</xdr:row>
      <xdr:rowOff>6349</xdr:rowOff>
    </xdr:from>
    <xdr:to>
      <xdr:col>11</xdr:col>
      <xdr:colOff>0</xdr:colOff>
      <xdr:row>40</xdr:row>
      <xdr:rowOff>19050</xdr:rowOff>
    </xdr:to>
    <xdr:graphicFrame macro="">
      <xdr:nvGraphicFramePr>
        <xdr:cNvPr id="6" name="Chart 5">
          <a:extLst>
            <a:ext uri="{FF2B5EF4-FFF2-40B4-BE49-F238E27FC236}">
              <a16:creationId xmlns:a16="http://schemas.microsoft.com/office/drawing/2014/main" id="{E18178CB-6830-78F3-9B98-8B03A79EB9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9525</xdr:colOff>
      <xdr:row>63</xdr:row>
      <xdr:rowOff>3175</xdr:rowOff>
    </xdr:from>
    <xdr:to>
      <xdr:col>10</xdr:col>
      <xdr:colOff>603250</xdr:colOff>
      <xdr:row>75</xdr:row>
      <xdr:rowOff>31750</xdr:rowOff>
    </xdr:to>
    <xdr:graphicFrame macro="">
      <xdr:nvGraphicFramePr>
        <xdr:cNvPr id="10" name="Chart 9">
          <a:extLst>
            <a:ext uri="{FF2B5EF4-FFF2-40B4-BE49-F238E27FC236}">
              <a16:creationId xmlns:a16="http://schemas.microsoft.com/office/drawing/2014/main" id="{07469D54-295D-408E-07D1-8B1E098739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215899</xdr:colOff>
      <xdr:row>44</xdr:row>
      <xdr:rowOff>6350</xdr:rowOff>
    </xdr:from>
    <xdr:to>
      <xdr:col>11</xdr:col>
      <xdr:colOff>0</xdr:colOff>
      <xdr:row>57</xdr:row>
      <xdr:rowOff>177800</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67D4B308-6BAF-CB44-2E35-9695EFBD563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962399" y="8159750"/>
              <a:ext cx="3708401" cy="25654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26832</xdr:colOff>
      <xdr:row>0</xdr:row>
      <xdr:rowOff>0</xdr:rowOff>
    </xdr:from>
    <xdr:to>
      <xdr:col>20</xdr:col>
      <xdr:colOff>435046</xdr:colOff>
      <xdr:row>31</xdr:row>
      <xdr:rowOff>0</xdr:rowOff>
    </xdr:to>
    <xdr:sp macro="" textlink="">
      <xdr:nvSpPr>
        <xdr:cNvPr id="3" name="Rectangle: Rounded Corners 2">
          <a:extLst>
            <a:ext uri="{FF2B5EF4-FFF2-40B4-BE49-F238E27FC236}">
              <a16:creationId xmlns:a16="http://schemas.microsoft.com/office/drawing/2014/main" id="{33477667-74C9-986A-4005-61F83B4C8007}"/>
            </a:ext>
          </a:extLst>
        </xdr:cNvPr>
        <xdr:cNvSpPr/>
      </xdr:nvSpPr>
      <xdr:spPr>
        <a:xfrm>
          <a:off x="26832" y="0"/>
          <a:ext cx="12571594" cy="5822324"/>
        </a:xfrm>
        <a:prstGeom prst="roundRect">
          <a:avLst>
            <a:gd name="adj" fmla="val 1650"/>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3</xdr:col>
      <xdr:colOff>491128</xdr:colOff>
      <xdr:row>0</xdr:row>
      <xdr:rowOff>40275</xdr:rowOff>
    </xdr:from>
    <xdr:to>
      <xdr:col>18</xdr:col>
      <xdr:colOff>234685</xdr:colOff>
      <xdr:row>2</xdr:row>
      <xdr:rowOff>146108</xdr:rowOff>
    </xdr:to>
    <xdr:sp macro="" textlink="">
      <xdr:nvSpPr>
        <xdr:cNvPr id="4" name="Rectangle: Rounded Corners 3" descr="gff">
          <a:extLst>
            <a:ext uri="{FF2B5EF4-FFF2-40B4-BE49-F238E27FC236}">
              <a16:creationId xmlns:a16="http://schemas.microsoft.com/office/drawing/2014/main" id="{D5D34F1C-4C8B-AC6C-EAF7-7133A9D5EF51}"/>
            </a:ext>
          </a:extLst>
        </xdr:cNvPr>
        <xdr:cNvSpPr/>
      </xdr:nvSpPr>
      <xdr:spPr>
        <a:xfrm>
          <a:off x="2315635" y="40275"/>
          <a:ext cx="8866092" cy="481467"/>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accent2">
                  <a:lumMod val="50000"/>
                </a:schemeClr>
              </a:solidFill>
            </a:rPr>
            <a:t>                                                                                                                             </a:t>
          </a:r>
          <a:r>
            <a:rPr lang="en-IN" sz="2000" b="1">
              <a:solidFill>
                <a:schemeClr val="accent2">
                  <a:lumMod val="50000"/>
                </a:schemeClr>
              </a:solidFill>
            </a:rPr>
            <a:t>Sales</a:t>
          </a:r>
          <a:r>
            <a:rPr lang="en-IN" sz="2000" b="1" baseline="0">
              <a:solidFill>
                <a:schemeClr val="accent2">
                  <a:lumMod val="50000"/>
                </a:schemeClr>
              </a:solidFill>
            </a:rPr>
            <a:t> Report july - 2018</a:t>
          </a:r>
          <a:endParaRPr lang="en-IN" sz="2000" b="1">
            <a:solidFill>
              <a:schemeClr val="accent2">
                <a:lumMod val="50000"/>
              </a:schemeClr>
            </a:solidFill>
          </a:endParaRPr>
        </a:p>
      </xdr:txBody>
    </xdr:sp>
    <xdr:clientData/>
  </xdr:twoCellAnchor>
  <xdr:twoCellAnchor>
    <xdr:from>
      <xdr:col>2</xdr:col>
      <xdr:colOff>571288</xdr:colOff>
      <xdr:row>3</xdr:row>
      <xdr:rowOff>65462</xdr:rowOff>
    </xdr:from>
    <xdr:to>
      <xdr:col>6</xdr:col>
      <xdr:colOff>113203</xdr:colOff>
      <xdr:row>6</xdr:row>
      <xdr:rowOff>118378</xdr:rowOff>
    </xdr:to>
    <xdr:sp macro="" textlink="">
      <xdr:nvSpPr>
        <xdr:cNvPr id="18" name="Rectangle: Rounded Corners 1">
          <a:extLst>
            <a:ext uri="{FF2B5EF4-FFF2-40B4-BE49-F238E27FC236}">
              <a16:creationId xmlns:a16="http://schemas.microsoft.com/office/drawing/2014/main" id="{EEC2C1CB-4329-F6B4-5B90-8D891ED18587}"/>
            </a:ext>
          </a:extLst>
        </xdr:cNvPr>
        <xdr:cNvSpPr/>
      </xdr:nvSpPr>
      <xdr:spPr>
        <a:xfrm>
          <a:off x="1787626" y="628913"/>
          <a:ext cx="1974591" cy="616366"/>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2">
                  <a:lumMod val="10000"/>
                </a:schemeClr>
              </a:solidFill>
              <a:effectLst/>
              <a:latin typeface="+mn-lt"/>
              <a:ea typeface="+mn-ea"/>
              <a:cs typeface="+mn-cs"/>
            </a:rPr>
            <a:t>             Total order</a:t>
          </a:r>
        </a:p>
        <a:p>
          <a:pPr algn="l"/>
          <a:r>
            <a:rPr lang="en-IN" sz="1400" b="1">
              <a:solidFill>
                <a:schemeClr val="bg2">
                  <a:lumMod val="10000"/>
                </a:schemeClr>
              </a:solidFill>
              <a:effectLst/>
              <a:latin typeface="+mn-lt"/>
              <a:ea typeface="+mn-ea"/>
              <a:cs typeface="+mn-cs"/>
            </a:rPr>
            <a:t>                   </a:t>
          </a:r>
          <a:endParaRPr lang="en-IN" sz="1400" b="1">
            <a:solidFill>
              <a:schemeClr val="bg2">
                <a:lumMod val="10000"/>
              </a:schemeClr>
            </a:solidFill>
          </a:endParaRPr>
        </a:p>
      </xdr:txBody>
    </xdr:sp>
    <xdr:clientData/>
  </xdr:twoCellAnchor>
  <xdr:twoCellAnchor>
    <xdr:from>
      <xdr:col>7</xdr:col>
      <xdr:colOff>36740</xdr:colOff>
      <xdr:row>3</xdr:row>
      <xdr:rowOff>42742</xdr:rowOff>
    </xdr:from>
    <xdr:to>
      <xdr:col>10</xdr:col>
      <xdr:colOff>208720</xdr:colOff>
      <xdr:row>6</xdr:row>
      <xdr:rowOff>95658</xdr:rowOff>
    </xdr:to>
    <xdr:sp macro="" textlink="">
      <xdr:nvSpPr>
        <xdr:cNvPr id="20" name="Rectangle: Rounded Corners 4">
          <a:extLst>
            <a:ext uri="{FF2B5EF4-FFF2-40B4-BE49-F238E27FC236}">
              <a16:creationId xmlns:a16="http://schemas.microsoft.com/office/drawing/2014/main" id="{F76324F3-C373-2A68-D88C-68AAA465DAF4}"/>
            </a:ext>
          </a:extLst>
        </xdr:cNvPr>
        <xdr:cNvSpPr/>
      </xdr:nvSpPr>
      <xdr:spPr>
        <a:xfrm>
          <a:off x="4310778" y="592261"/>
          <a:ext cx="2003711" cy="602435"/>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2">
                  <a:lumMod val="10000"/>
                </a:schemeClr>
              </a:solidFill>
            </a:rPr>
            <a:t>      Total sales</a:t>
          </a:r>
        </a:p>
        <a:p>
          <a:pPr algn="l"/>
          <a:r>
            <a:rPr lang="en-IN" sz="1400" b="1">
              <a:solidFill>
                <a:schemeClr val="bg2">
                  <a:lumMod val="10000"/>
                </a:schemeClr>
              </a:solidFill>
            </a:rPr>
            <a:t>    </a:t>
          </a:r>
        </a:p>
      </xdr:txBody>
    </xdr:sp>
    <xdr:clientData/>
  </xdr:twoCellAnchor>
  <xdr:twoCellAnchor>
    <xdr:from>
      <xdr:col>11</xdr:col>
      <xdr:colOff>406175</xdr:colOff>
      <xdr:row>3</xdr:row>
      <xdr:rowOff>28827</xdr:rowOff>
    </xdr:from>
    <xdr:to>
      <xdr:col>14</xdr:col>
      <xdr:colOff>531852</xdr:colOff>
      <xdr:row>6</xdr:row>
      <xdr:rowOff>75127</xdr:rowOff>
    </xdr:to>
    <xdr:sp macro="" textlink="">
      <xdr:nvSpPr>
        <xdr:cNvPr id="19" name="Rectangle: Rounded Corners 6">
          <a:extLst>
            <a:ext uri="{FF2B5EF4-FFF2-40B4-BE49-F238E27FC236}">
              <a16:creationId xmlns:a16="http://schemas.microsoft.com/office/drawing/2014/main" id="{AFFA729A-D66F-6CCE-1F96-52C8633B6D35}"/>
            </a:ext>
          </a:extLst>
        </xdr:cNvPr>
        <xdr:cNvSpPr/>
      </xdr:nvSpPr>
      <xdr:spPr>
        <a:xfrm>
          <a:off x="7122521" y="578346"/>
          <a:ext cx="1957408" cy="595819"/>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2">
                  <a:lumMod val="10000"/>
                </a:schemeClr>
              </a:solidFill>
            </a:rPr>
            <a:t>Total commission</a:t>
          </a:r>
        </a:p>
      </xdr:txBody>
    </xdr:sp>
    <xdr:clientData/>
  </xdr:twoCellAnchor>
  <xdr:twoCellAnchor>
    <xdr:from>
      <xdr:col>16</xdr:col>
      <xdr:colOff>190340</xdr:colOff>
      <xdr:row>3</xdr:row>
      <xdr:rowOff>26243</xdr:rowOff>
    </xdr:from>
    <xdr:to>
      <xdr:col>19</xdr:col>
      <xdr:colOff>316017</xdr:colOff>
      <xdr:row>6</xdr:row>
      <xdr:rowOff>72543</xdr:rowOff>
    </xdr:to>
    <xdr:sp macro="" textlink="">
      <xdr:nvSpPr>
        <xdr:cNvPr id="23" name="Rectangle: Rounded Corners 6">
          <a:extLst>
            <a:ext uri="{FF2B5EF4-FFF2-40B4-BE49-F238E27FC236}">
              <a16:creationId xmlns:a16="http://schemas.microsoft.com/office/drawing/2014/main" id="{6A5E3C8C-7491-D998-EF1D-4F12706E593B}"/>
            </a:ext>
          </a:extLst>
        </xdr:cNvPr>
        <xdr:cNvSpPr/>
      </xdr:nvSpPr>
      <xdr:spPr>
        <a:xfrm>
          <a:off x="9921044" y="589694"/>
          <a:ext cx="1950184" cy="60975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2">
                  <a:lumMod val="10000"/>
                </a:schemeClr>
              </a:solidFill>
            </a:rPr>
            <a:t>     Net sales</a:t>
          </a:r>
          <a:r>
            <a:rPr lang="en-IN" sz="1400" b="1" baseline="0">
              <a:solidFill>
                <a:schemeClr val="bg2">
                  <a:lumMod val="10000"/>
                </a:schemeClr>
              </a:solidFill>
            </a:rPr>
            <a:t>                              </a:t>
          </a:r>
          <a:endParaRPr lang="en-IN" sz="1400" b="1">
            <a:solidFill>
              <a:schemeClr val="bg2">
                <a:lumMod val="10000"/>
              </a:schemeClr>
            </a:solidFill>
          </a:endParaRPr>
        </a:p>
      </xdr:txBody>
    </xdr:sp>
    <xdr:clientData/>
  </xdr:twoCellAnchor>
  <xdr:twoCellAnchor>
    <xdr:from>
      <xdr:col>2</xdr:col>
      <xdr:colOff>19845</xdr:colOff>
      <xdr:row>7</xdr:row>
      <xdr:rowOff>13229</xdr:rowOff>
    </xdr:from>
    <xdr:to>
      <xdr:col>8</xdr:col>
      <xdr:colOff>292895</xdr:colOff>
      <xdr:row>17</xdr:row>
      <xdr:rowOff>180445</xdr:rowOff>
    </xdr:to>
    <xdr:graphicFrame macro="">
      <xdr:nvGraphicFramePr>
        <xdr:cNvPr id="24" name="Chart 23">
          <a:extLst>
            <a:ext uri="{FF2B5EF4-FFF2-40B4-BE49-F238E27FC236}">
              <a16:creationId xmlns:a16="http://schemas.microsoft.com/office/drawing/2014/main" id="{50DBC1FE-6178-497B-B548-4B13F8DFE4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496094</xdr:colOff>
      <xdr:row>7</xdr:row>
      <xdr:rowOff>1</xdr:rowOff>
    </xdr:from>
    <xdr:to>
      <xdr:col>15</xdr:col>
      <xdr:colOff>154252</xdr:colOff>
      <xdr:row>18</xdr:row>
      <xdr:rowOff>1</xdr:rowOff>
    </xdr:to>
    <xdr:graphicFrame macro="">
      <xdr:nvGraphicFramePr>
        <xdr:cNvPr id="25" name="Chart 24">
          <a:extLst>
            <a:ext uri="{FF2B5EF4-FFF2-40B4-BE49-F238E27FC236}">
              <a16:creationId xmlns:a16="http://schemas.microsoft.com/office/drawing/2014/main" id="{B84946E9-D2A7-45AD-9355-65EAC81F7D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39688</xdr:colOff>
      <xdr:row>18</xdr:row>
      <xdr:rowOff>171980</xdr:rowOff>
    </xdr:from>
    <xdr:to>
      <xdr:col>8</xdr:col>
      <xdr:colOff>300039</xdr:colOff>
      <xdr:row>29</xdr:row>
      <xdr:rowOff>173039</xdr:rowOff>
    </xdr:to>
    <xdr:graphicFrame macro="">
      <xdr:nvGraphicFramePr>
        <xdr:cNvPr id="26" name="Chart 25">
          <a:extLst>
            <a:ext uri="{FF2B5EF4-FFF2-40B4-BE49-F238E27FC236}">
              <a16:creationId xmlns:a16="http://schemas.microsoft.com/office/drawing/2014/main" id="{27AFE966-FF1E-4C7B-8D41-A82446DA2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489479</xdr:colOff>
      <xdr:row>18</xdr:row>
      <xdr:rowOff>171979</xdr:rowOff>
    </xdr:from>
    <xdr:to>
      <xdr:col>15</xdr:col>
      <xdr:colOff>138112</xdr:colOff>
      <xdr:row>30</xdr:row>
      <xdr:rowOff>13228</xdr:rowOff>
    </xdr:to>
    <xdr:graphicFrame macro="">
      <xdr:nvGraphicFramePr>
        <xdr:cNvPr id="27" name="Chart 26">
          <a:extLst>
            <a:ext uri="{FF2B5EF4-FFF2-40B4-BE49-F238E27FC236}">
              <a16:creationId xmlns:a16="http://schemas.microsoft.com/office/drawing/2014/main" id="{773E02AD-F9E1-4CF7-8F47-05C8497E4D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346010</xdr:colOff>
      <xdr:row>6</xdr:row>
      <xdr:rowOff>164682</xdr:rowOff>
    </xdr:from>
    <xdr:to>
      <xdr:col>20</xdr:col>
      <xdr:colOff>253407</xdr:colOff>
      <xdr:row>30</xdr:row>
      <xdr:rowOff>12546</xdr:rowOff>
    </xdr:to>
    <mc:AlternateContent xmlns:mc="http://schemas.openxmlformats.org/markup-compatibility/2006">
      <mc:Choice xmlns:cx4="http://schemas.microsoft.com/office/drawing/2016/5/10/chartex" Requires="cx4">
        <xdr:graphicFrame macro="">
          <xdr:nvGraphicFramePr>
            <xdr:cNvPr id="28" name="Chart 27">
              <a:extLst>
                <a:ext uri="{FF2B5EF4-FFF2-40B4-BE49-F238E27FC236}">
                  <a16:creationId xmlns:a16="http://schemas.microsoft.com/office/drawing/2014/main" id="{FBE1CD62-596C-436D-93B9-021B6ABC37D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9490010" y="1269582"/>
              <a:ext cx="2955397" cy="426746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51093</xdr:colOff>
      <xdr:row>0</xdr:row>
      <xdr:rowOff>66638</xdr:rowOff>
    </xdr:from>
    <xdr:to>
      <xdr:col>1</xdr:col>
      <xdr:colOff>591208</xdr:colOff>
      <xdr:row>10</xdr:row>
      <xdr:rowOff>94884</xdr:rowOff>
    </xdr:to>
    <mc:AlternateContent xmlns:mc="http://schemas.openxmlformats.org/markup-compatibility/2006" xmlns:a14="http://schemas.microsoft.com/office/drawing/2010/main">
      <mc:Choice Requires="a14">
        <xdr:graphicFrame macro="">
          <xdr:nvGraphicFramePr>
            <xdr:cNvPr id="29" name="Item">
              <a:extLst>
                <a:ext uri="{FF2B5EF4-FFF2-40B4-BE49-F238E27FC236}">
                  <a16:creationId xmlns:a16="http://schemas.microsoft.com/office/drawing/2014/main" id="{AFDA89C0-4F18-C621-1F8D-DD3A9345AAB8}"/>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51093" y="66638"/>
              <a:ext cx="1148284" cy="19064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51092</xdr:colOff>
      <xdr:row>10</xdr:row>
      <xdr:rowOff>134588</xdr:rowOff>
    </xdr:from>
    <xdr:to>
      <xdr:col>1</xdr:col>
      <xdr:colOff>583908</xdr:colOff>
      <xdr:row>20</xdr:row>
      <xdr:rowOff>160574</xdr:rowOff>
    </xdr:to>
    <mc:AlternateContent xmlns:mc="http://schemas.openxmlformats.org/markup-compatibility/2006" xmlns:a14="http://schemas.microsoft.com/office/drawing/2010/main">
      <mc:Choice Requires="a14">
        <xdr:graphicFrame macro="">
          <xdr:nvGraphicFramePr>
            <xdr:cNvPr id="30" name="Sales Rep">
              <a:extLst>
                <a:ext uri="{FF2B5EF4-FFF2-40B4-BE49-F238E27FC236}">
                  <a16:creationId xmlns:a16="http://schemas.microsoft.com/office/drawing/2014/main" id="{FFEC44A6-CD25-947E-FA5A-45E8CCC32B09}"/>
                </a:ext>
              </a:extLst>
            </xdr:cNvPr>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mlns="">
        <xdr:sp macro="" textlink="">
          <xdr:nvSpPr>
            <xdr:cNvPr id="0" name=""/>
            <xdr:cNvSpPr>
              <a:spLocks noTextEdit="1"/>
            </xdr:cNvSpPr>
          </xdr:nvSpPr>
          <xdr:spPr>
            <a:xfrm>
              <a:off x="51092" y="2012757"/>
              <a:ext cx="1140985" cy="19041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43793</xdr:colOff>
      <xdr:row>21</xdr:row>
      <xdr:rowOff>7299</xdr:rowOff>
    </xdr:from>
    <xdr:to>
      <xdr:col>1</xdr:col>
      <xdr:colOff>591207</xdr:colOff>
      <xdr:row>30</xdr:row>
      <xdr:rowOff>124081</xdr:rowOff>
    </xdr:to>
    <mc:AlternateContent xmlns:mc="http://schemas.openxmlformats.org/markup-compatibility/2006" xmlns:a14="http://schemas.microsoft.com/office/drawing/2010/main">
      <mc:Choice Requires="a14">
        <xdr:graphicFrame macro="">
          <xdr:nvGraphicFramePr>
            <xdr:cNvPr id="31" name="State">
              <a:extLst>
                <a:ext uri="{FF2B5EF4-FFF2-40B4-BE49-F238E27FC236}">
                  <a16:creationId xmlns:a16="http://schemas.microsoft.com/office/drawing/2014/main" id="{75FC29D1-D9A5-3C9C-79F4-F99272F33291}"/>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43793" y="3951454"/>
              <a:ext cx="1155583" cy="18071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134091</xdr:colOff>
      <xdr:row>3</xdr:row>
      <xdr:rowOff>134155</xdr:rowOff>
    </xdr:from>
    <xdr:to>
      <xdr:col>10</xdr:col>
      <xdr:colOff>169932</xdr:colOff>
      <xdr:row>5</xdr:row>
      <xdr:rowOff>178873</xdr:rowOff>
    </xdr:to>
    <xdr:pic>
      <xdr:nvPicPr>
        <xdr:cNvPr id="32" name="Picture 31">
          <a:extLst>
            <a:ext uri="{FF2B5EF4-FFF2-40B4-BE49-F238E27FC236}">
              <a16:creationId xmlns:a16="http://schemas.microsoft.com/office/drawing/2014/main" id="{02AF1A98-6C18-DE1D-EB54-90F3E6039634}"/>
            </a:ext>
          </a:extLst>
        </xdr:cNvPr>
        <xdr:cNvPicPr>
          <a:picLocks noChangeAspect="1"/>
        </xdr:cNvPicPr>
      </xdr:nvPicPr>
      <xdr:blipFill>
        <a:blip xmlns:r="http://schemas.openxmlformats.org/officeDocument/2006/relationships" r:embed="rId6"/>
        <a:stretch>
          <a:fillRect/>
        </a:stretch>
      </xdr:blipFill>
      <xdr:spPr>
        <a:xfrm>
          <a:off x="5607612" y="697606"/>
          <a:ext cx="644010" cy="420352"/>
        </a:xfrm>
        <a:prstGeom prst="rect">
          <a:avLst/>
        </a:prstGeom>
      </xdr:spPr>
    </xdr:pic>
    <xdr:clientData/>
  </xdr:twoCellAnchor>
  <xdr:twoCellAnchor editAs="oneCell">
    <xdr:from>
      <xdr:col>13</xdr:col>
      <xdr:colOff>518733</xdr:colOff>
      <xdr:row>3</xdr:row>
      <xdr:rowOff>71549</xdr:rowOff>
    </xdr:from>
    <xdr:to>
      <xdr:col>14</xdr:col>
      <xdr:colOff>465072</xdr:colOff>
      <xdr:row>5</xdr:row>
      <xdr:rowOff>187815</xdr:rowOff>
    </xdr:to>
    <xdr:pic>
      <xdr:nvPicPr>
        <xdr:cNvPr id="33" name="Picture 32">
          <a:extLst>
            <a:ext uri="{FF2B5EF4-FFF2-40B4-BE49-F238E27FC236}">
              <a16:creationId xmlns:a16="http://schemas.microsoft.com/office/drawing/2014/main" id="{52C1D0DA-2343-E633-B17D-87F8BB4EAF99}"/>
            </a:ext>
          </a:extLst>
        </xdr:cNvPr>
        <xdr:cNvPicPr>
          <a:picLocks noChangeAspect="1"/>
        </xdr:cNvPicPr>
      </xdr:nvPicPr>
      <xdr:blipFill>
        <a:blip xmlns:r="http://schemas.openxmlformats.org/officeDocument/2006/relationships" r:embed="rId7"/>
        <a:stretch>
          <a:fillRect/>
        </a:stretch>
      </xdr:blipFill>
      <xdr:spPr>
        <a:xfrm>
          <a:off x="8424930" y="635000"/>
          <a:ext cx="554508" cy="491900"/>
        </a:xfrm>
        <a:prstGeom prst="rect">
          <a:avLst/>
        </a:prstGeom>
      </xdr:spPr>
    </xdr:pic>
    <xdr:clientData/>
  </xdr:twoCellAnchor>
  <xdr:twoCellAnchor editAs="oneCell">
    <xdr:from>
      <xdr:col>18</xdr:col>
      <xdr:colOff>375634</xdr:colOff>
      <xdr:row>3</xdr:row>
      <xdr:rowOff>71549</xdr:rowOff>
    </xdr:from>
    <xdr:to>
      <xdr:col>19</xdr:col>
      <xdr:colOff>261420</xdr:colOff>
      <xdr:row>6</xdr:row>
      <xdr:rowOff>71551</xdr:rowOff>
    </xdr:to>
    <xdr:pic>
      <xdr:nvPicPr>
        <xdr:cNvPr id="34" name="Picture 33">
          <a:extLst>
            <a:ext uri="{FF2B5EF4-FFF2-40B4-BE49-F238E27FC236}">
              <a16:creationId xmlns:a16="http://schemas.microsoft.com/office/drawing/2014/main" id="{162901D8-75B0-33AE-6378-9BBCACCDACB5}"/>
            </a:ext>
          </a:extLst>
        </xdr:cNvPr>
        <xdr:cNvPicPr>
          <a:picLocks noChangeAspect="1"/>
        </xdr:cNvPicPr>
      </xdr:nvPicPr>
      <xdr:blipFill>
        <a:blip xmlns:r="http://schemas.openxmlformats.org/officeDocument/2006/relationships" r:embed="rId8"/>
        <a:stretch>
          <a:fillRect/>
        </a:stretch>
      </xdr:blipFill>
      <xdr:spPr>
        <a:xfrm>
          <a:off x="11322676" y="635000"/>
          <a:ext cx="493955" cy="563452"/>
        </a:xfrm>
        <a:prstGeom prst="rect">
          <a:avLst/>
        </a:prstGeom>
      </xdr:spPr>
    </xdr:pic>
    <xdr:clientData/>
  </xdr:twoCellAnchor>
  <xdr:oneCellAnchor>
    <xdr:from>
      <xdr:col>3</xdr:col>
      <xdr:colOff>590283</xdr:colOff>
      <xdr:row>4</xdr:row>
      <xdr:rowOff>169929</xdr:rowOff>
    </xdr:from>
    <xdr:ext cx="509789" cy="281744"/>
    <xdr:sp macro="" textlink="KPI!B5">
      <xdr:nvSpPr>
        <xdr:cNvPr id="5" name="TextBox 4">
          <a:extLst>
            <a:ext uri="{FF2B5EF4-FFF2-40B4-BE49-F238E27FC236}">
              <a16:creationId xmlns:a16="http://schemas.microsoft.com/office/drawing/2014/main" id="{B5105956-EFEC-F512-DEC2-6AC4D0CB803C}"/>
            </a:ext>
          </a:extLst>
        </xdr:cNvPr>
        <xdr:cNvSpPr txBox="1"/>
      </xdr:nvSpPr>
      <xdr:spPr>
        <a:xfrm>
          <a:off x="2414790" y="921197"/>
          <a:ext cx="509789" cy="2817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fld id="{FA429025-B6D5-409C-B076-EB7234E02C81}" type="TxLink">
            <a:rPr lang="en-US" sz="1800" b="1" i="0" u="none" strike="noStrike">
              <a:solidFill>
                <a:srgbClr val="000000"/>
              </a:solidFill>
              <a:latin typeface="Aptos Narrow"/>
            </a:rPr>
            <a:pPr/>
            <a:t>1300</a:t>
          </a:fld>
          <a:endParaRPr lang="en-IN" sz="1800" b="1"/>
        </a:p>
      </xdr:txBody>
    </xdr:sp>
    <xdr:clientData/>
  </xdr:oneCellAnchor>
  <xdr:twoCellAnchor>
    <xdr:from>
      <xdr:col>7</xdr:col>
      <xdr:colOff>295141</xdr:colOff>
      <xdr:row>4</xdr:row>
      <xdr:rowOff>152041</xdr:rowOff>
    </xdr:from>
    <xdr:to>
      <xdr:col>8</xdr:col>
      <xdr:colOff>563451</xdr:colOff>
      <xdr:row>6</xdr:row>
      <xdr:rowOff>8943</xdr:rowOff>
    </xdr:to>
    <xdr:sp macro="" textlink="KPI!B10">
      <xdr:nvSpPr>
        <xdr:cNvPr id="6" name="TextBox 5">
          <a:extLst>
            <a:ext uri="{FF2B5EF4-FFF2-40B4-BE49-F238E27FC236}">
              <a16:creationId xmlns:a16="http://schemas.microsoft.com/office/drawing/2014/main" id="{1CA64287-7B9E-92D5-7AAD-D2F5026923E4}"/>
            </a:ext>
          </a:extLst>
        </xdr:cNvPr>
        <xdr:cNvSpPr txBox="1"/>
      </xdr:nvSpPr>
      <xdr:spPr>
        <a:xfrm>
          <a:off x="4552324" y="903309"/>
          <a:ext cx="876479" cy="232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09922B23-0784-48A8-BA96-5C44D3933903}" type="TxLink">
            <a:rPr lang="en-US" sz="1800" b="1" i="0" u="none" strike="noStrike">
              <a:solidFill>
                <a:srgbClr val="000000"/>
              </a:solidFill>
              <a:latin typeface="Aptos Narrow"/>
            </a:rPr>
            <a:pPr/>
            <a:t>1585146</a:t>
          </a:fld>
          <a:endParaRPr lang="en-IN" sz="1800" b="1"/>
        </a:p>
      </xdr:txBody>
    </xdr:sp>
    <xdr:clientData/>
  </xdr:twoCellAnchor>
  <xdr:twoCellAnchor>
    <xdr:from>
      <xdr:col>11</xdr:col>
      <xdr:colOff>581338</xdr:colOff>
      <xdr:row>4</xdr:row>
      <xdr:rowOff>116267</xdr:rowOff>
    </xdr:from>
    <xdr:to>
      <xdr:col>13</xdr:col>
      <xdr:colOff>438239</xdr:colOff>
      <xdr:row>5</xdr:row>
      <xdr:rowOff>178872</xdr:rowOff>
    </xdr:to>
    <xdr:sp macro="" textlink="KPI!B15">
      <xdr:nvSpPr>
        <xdr:cNvPr id="2" name="TextBox 1">
          <a:extLst>
            <a:ext uri="{FF2B5EF4-FFF2-40B4-BE49-F238E27FC236}">
              <a16:creationId xmlns:a16="http://schemas.microsoft.com/office/drawing/2014/main" id="{5BB32C27-08F3-0AB4-B981-E54C0AE31895}"/>
            </a:ext>
          </a:extLst>
        </xdr:cNvPr>
        <xdr:cNvSpPr txBox="1"/>
      </xdr:nvSpPr>
      <xdr:spPr>
        <a:xfrm>
          <a:off x="7271197" y="867535"/>
          <a:ext cx="1073239" cy="250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EA1C25F8-31FB-4960-8F39-36BC1E47F278}" type="TxLink">
            <a:rPr lang="en-US" sz="1800" b="1" i="0" u="none" strike="noStrike">
              <a:solidFill>
                <a:srgbClr val="000000"/>
              </a:solidFill>
              <a:latin typeface="Aptos Narrow"/>
            </a:rPr>
            <a:t>100160.24</a:t>
          </a:fld>
          <a:endParaRPr lang="en-IN" sz="1800" b="1"/>
        </a:p>
      </xdr:txBody>
    </xdr:sp>
    <xdr:clientData/>
  </xdr:twoCellAnchor>
  <xdr:twoCellAnchor>
    <xdr:from>
      <xdr:col>16</xdr:col>
      <xdr:colOff>321973</xdr:colOff>
      <xdr:row>4</xdr:row>
      <xdr:rowOff>116268</xdr:rowOff>
    </xdr:from>
    <xdr:to>
      <xdr:col>18</xdr:col>
      <xdr:colOff>250423</xdr:colOff>
      <xdr:row>6</xdr:row>
      <xdr:rowOff>1</xdr:rowOff>
    </xdr:to>
    <xdr:sp macro="" textlink="KPI!B19">
      <xdr:nvSpPr>
        <xdr:cNvPr id="7" name="TextBox 6">
          <a:extLst>
            <a:ext uri="{FF2B5EF4-FFF2-40B4-BE49-F238E27FC236}">
              <a16:creationId xmlns:a16="http://schemas.microsoft.com/office/drawing/2014/main" id="{366F914B-4DE3-7545-EF00-7821AE121D82}"/>
            </a:ext>
          </a:extLst>
        </xdr:cNvPr>
        <xdr:cNvSpPr txBox="1"/>
      </xdr:nvSpPr>
      <xdr:spPr>
        <a:xfrm>
          <a:off x="10052677" y="867536"/>
          <a:ext cx="1144788" cy="259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92909C6D-746A-49EA-B0B6-8CE7ACD6DE03}" type="TxLink">
            <a:rPr lang="en-US" sz="1800" b="1" i="0" u="none" strike="noStrike">
              <a:solidFill>
                <a:srgbClr val="000000"/>
              </a:solidFill>
              <a:latin typeface="Aptos Narrow"/>
            </a:rPr>
            <a:t>1484985.76</a:t>
          </a:fld>
          <a:endParaRPr lang="en-IN" sz="18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gar Nilange" refreshedDate="46024.479398726849" createdVersion="8" refreshedVersion="8" minRefreshableVersion="3" recordCount="1300" xr:uid="{DDB3A5F9-693A-4ECE-850E-105F8D7F4601}">
  <cacheSource type="worksheet">
    <worksheetSource name="raw_data_one_month_sales_Report"/>
  </cacheSource>
  <cacheFields count="10">
    <cacheField name="order_id" numFmtId="0">
      <sharedItems/>
    </cacheField>
    <cacheField name="Date" numFmtId="14">
      <sharedItems containsSemiMixedTypes="0" containsNonDate="0" containsDate="1" containsString="0" minDate="2018-07-01T00:00:00" maxDate="2018-08-01T00:00:00" count="31">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sharedItems>
    </cacheField>
    <cacheField name="Item" numFmtId="0">
      <sharedItems count="5">
        <s v="Printer"/>
        <s v="White Board"/>
        <s v="Office Chair"/>
        <s v="Diary"/>
        <s v="Projector"/>
      </sharedItems>
    </cacheField>
    <cacheField name="Sales Rep" numFmtId="0">
      <sharedItems count="5">
        <s v="John"/>
        <s v="Mark"/>
        <s v="Laura"/>
        <s v="Stacey"/>
        <s v="Bob"/>
      </sharedItems>
    </cacheField>
    <cacheField name="Quantity" numFmtId="0">
      <sharedItems containsSemiMixedTypes="0" containsString="0" containsNumber="1" containsInteger="1" minValue="2" maxValue="23"/>
    </cacheField>
    <cacheField name="Price" numFmtId="0">
      <sharedItems containsSemiMixedTypes="0" containsString="0" containsNumber="1" containsInteger="1" minValue="16" maxValue="230"/>
    </cacheField>
    <cacheField name="total sales" numFmtId="0">
      <sharedItems containsSemiMixedTypes="0" containsString="0" containsNumber="1" containsInteger="1" minValue="32" maxValue="5290"/>
    </cacheField>
    <cacheField name="Commission" numFmtId="0">
      <sharedItems containsSemiMixedTypes="0" containsString="0" containsNumber="1" minValue="0.01" maxValue="0.12"/>
    </cacheField>
    <cacheField name="total commission" numFmtId="0">
      <sharedItems containsSemiMixedTypes="0" containsString="0" containsNumber="1" minValue="0.96" maxValue="556.6"/>
    </cacheField>
    <cacheField name="State" numFmtId="0">
      <sharedItems count="12">
        <s v="Meghalaya"/>
        <s v="Uttar Pradesh"/>
        <s v="Maharashtra"/>
        <s v="Delhi"/>
        <s v="West Bengal"/>
        <s v="Bihar"/>
        <s v="Goa"/>
        <s v="Karnataka"/>
        <s v="Gujarat"/>
        <s v="Jharkhand"/>
        <s v="Haryana"/>
        <s v="Kerala"/>
      </sharedItems>
    </cacheField>
  </cacheFields>
  <extLst>
    <ext xmlns:x14="http://schemas.microsoft.com/office/spreadsheetml/2009/9/main" uri="{725AE2AE-9491-48be-B2B4-4EB974FC3084}">
      <x14:pivotCacheDefinition pivotCacheId="9372626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0">
  <r>
    <s v="order_id = 1"/>
    <x v="0"/>
    <x v="0"/>
    <x v="0"/>
    <n v="10"/>
    <n v="80"/>
    <n v="800"/>
    <n v="0.01"/>
    <n v="8"/>
    <x v="0"/>
  </r>
  <r>
    <s v="order_id = 2"/>
    <x v="0"/>
    <x v="1"/>
    <x v="1"/>
    <n v="14"/>
    <n v="40"/>
    <n v="560"/>
    <n v="0.06"/>
    <n v="33.6"/>
    <x v="1"/>
  </r>
  <r>
    <s v="order_id = 3"/>
    <x v="0"/>
    <x v="2"/>
    <x v="1"/>
    <n v="22"/>
    <n v="230"/>
    <n v="5060"/>
    <n v="0.11"/>
    <n v="556.6"/>
    <x v="2"/>
  </r>
  <r>
    <s v="order_id = 4"/>
    <x v="0"/>
    <x v="2"/>
    <x v="0"/>
    <n v="8"/>
    <n v="230"/>
    <n v="1840"/>
    <n v="0.03"/>
    <n v="55.199999999999996"/>
    <x v="3"/>
  </r>
  <r>
    <s v="order_id = 5"/>
    <x v="0"/>
    <x v="2"/>
    <x v="2"/>
    <n v="12"/>
    <n v="230"/>
    <n v="2760"/>
    <n v="0.03"/>
    <n v="82.8"/>
    <x v="4"/>
  </r>
  <r>
    <s v="order_id = 6"/>
    <x v="0"/>
    <x v="0"/>
    <x v="3"/>
    <n v="19"/>
    <n v="80"/>
    <n v="1520"/>
    <n v="0.02"/>
    <n v="30.400000000000002"/>
    <x v="5"/>
  </r>
  <r>
    <s v="order_id = 7"/>
    <x v="0"/>
    <x v="3"/>
    <x v="4"/>
    <n v="17"/>
    <n v="16"/>
    <n v="272"/>
    <n v="0.08"/>
    <n v="21.76"/>
    <x v="6"/>
  </r>
  <r>
    <s v="order_id = 8"/>
    <x v="0"/>
    <x v="4"/>
    <x v="3"/>
    <n v="7"/>
    <n v="150"/>
    <n v="1050"/>
    <n v="0.05"/>
    <n v="52.5"/>
    <x v="7"/>
  </r>
  <r>
    <s v="order_id = 9"/>
    <x v="0"/>
    <x v="4"/>
    <x v="3"/>
    <n v="20"/>
    <n v="150"/>
    <n v="3000"/>
    <n v="0.1"/>
    <n v="300"/>
    <x v="8"/>
  </r>
  <r>
    <s v="order_id = 10"/>
    <x v="0"/>
    <x v="3"/>
    <x v="0"/>
    <n v="21"/>
    <n v="16"/>
    <n v="336"/>
    <n v="0.09"/>
    <n v="30.24"/>
    <x v="9"/>
  </r>
  <r>
    <s v="order_id = 11"/>
    <x v="0"/>
    <x v="2"/>
    <x v="1"/>
    <n v="7"/>
    <n v="230"/>
    <n v="1610"/>
    <n v="0.01"/>
    <n v="16.100000000000001"/>
    <x v="10"/>
  </r>
  <r>
    <s v="order_id = 12"/>
    <x v="1"/>
    <x v="0"/>
    <x v="3"/>
    <n v="7"/>
    <n v="80"/>
    <n v="560"/>
    <n v="7.0000000000000007E-2"/>
    <n v="39.200000000000003"/>
    <x v="11"/>
  </r>
  <r>
    <s v="order_id = 13"/>
    <x v="1"/>
    <x v="0"/>
    <x v="4"/>
    <n v="9"/>
    <n v="80"/>
    <n v="720"/>
    <n v="0.02"/>
    <n v="14.4"/>
    <x v="0"/>
  </r>
  <r>
    <s v="order_id = 14"/>
    <x v="1"/>
    <x v="1"/>
    <x v="4"/>
    <n v="16"/>
    <n v="40"/>
    <n v="640"/>
    <n v="0.09"/>
    <n v="57.599999999999994"/>
    <x v="1"/>
  </r>
  <r>
    <s v="order_id = 15"/>
    <x v="1"/>
    <x v="4"/>
    <x v="1"/>
    <n v="23"/>
    <n v="150"/>
    <n v="3450"/>
    <n v="0.11"/>
    <n v="379.5"/>
    <x v="2"/>
  </r>
  <r>
    <s v="order_id = 16"/>
    <x v="1"/>
    <x v="3"/>
    <x v="3"/>
    <n v="22"/>
    <n v="16"/>
    <n v="352"/>
    <n v="0.03"/>
    <n v="10.559999999999999"/>
    <x v="3"/>
  </r>
  <r>
    <s v="order_id = 17"/>
    <x v="1"/>
    <x v="1"/>
    <x v="3"/>
    <n v="23"/>
    <n v="40"/>
    <n v="920"/>
    <n v="0.06"/>
    <n v="55.199999999999996"/>
    <x v="4"/>
  </r>
  <r>
    <s v="order_id = 18"/>
    <x v="1"/>
    <x v="0"/>
    <x v="0"/>
    <n v="20"/>
    <n v="80"/>
    <n v="1600"/>
    <n v="0.01"/>
    <n v="16"/>
    <x v="5"/>
  </r>
  <r>
    <s v="order_id = 19"/>
    <x v="2"/>
    <x v="0"/>
    <x v="3"/>
    <n v="11"/>
    <n v="80"/>
    <n v="880"/>
    <n v="0.01"/>
    <n v="8.8000000000000007"/>
    <x v="6"/>
  </r>
  <r>
    <s v="order_id = 20"/>
    <x v="2"/>
    <x v="1"/>
    <x v="3"/>
    <n v="9"/>
    <n v="40"/>
    <n v="360"/>
    <n v="0.06"/>
    <n v="21.599999999999998"/>
    <x v="7"/>
  </r>
  <r>
    <s v="order_id = 21"/>
    <x v="2"/>
    <x v="0"/>
    <x v="4"/>
    <n v="16"/>
    <n v="80"/>
    <n v="1280"/>
    <n v="0.09"/>
    <n v="115.19999999999999"/>
    <x v="8"/>
  </r>
  <r>
    <s v="order_id = 22"/>
    <x v="2"/>
    <x v="0"/>
    <x v="2"/>
    <n v="10"/>
    <n v="80"/>
    <n v="800"/>
    <n v="0.08"/>
    <n v="64"/>
    <x v="9"/>
  </r>
  <r>
    <s v="order_id = 23"/>
    <x v="2"/>
    <x v="3"/>
    <x v="2"/>
    <n v="12"/>
    <n v="16"/>
    <n v="192"/>
    <n v="0.11"/>
    <n v="21.12"/>
    <x v="10"/>
  </r>
  <r>
    <s v="order_id = 24"/>
    <x v="2"/>
    <x v="4"/>
    <x v="3"/>
    <n v="6"/>
    <n v="150"/>
    <n v="900"/>
    <n v="0.03"/>
    <n v="27"/>
    <x v="11"/>
  </r>
  <r>
    <s v="order_id = 25"/>
    <x v="2"/>
    <x v="3"/>
    <x v="2"/>
    <n v="11"/>
    <n v="16"/>
    <n v="176"/>
    <n v="0.04"/>
    <n v="7.04"/>
    <x v="0"/>
  </r>
  <r>
    <s v="order_id = 26"/>
    <x v="2"/>
    <x v="0"/>
    <x v="3"/>
    <n v="22"/>
    <n v="80"/>
    <n v="1760"/>
    <n v="0.03"/>
    <n v="52.8"/>
    <x v="1"/>
  </r>
  <r>
    <s v="order_id = 27"/>
    <x v="2"/>
    <x v="3"/>
    <x v="1"/>
    <n v="7"/>
    <n v="16"/>
    <n v="112"/>
    <n v="0.08"/>
    <n v="8.9600000000000009"/>
    <x v="2"/>
  </r>
  <r>
    <s v="order_id = 28"/>
    <x v="2"/>
    <x v="1"/>
    <x v="3"/>
    <n v="13"/>
    <n v="40"/>
    <n v="520"/>
    <n v="0.09"/>
    <n v="46.8"/>
    <x v="3"/>
  </r>
  <r>
    <s v="order_id = 29"/>
    <x v="2"/>
    <x v="2"/>
    <x v="3"/>
    <n v="8"/>
    <n v="230"/>
    <n v="1840"/>
    <n v="0.05"/>
    <n v="92"/>
    <x v="4"/>
  </r>
  <r>
    <s v="order_id = 30"/>
    <x v="2"/>
    <x v="3"/>
    <x v="3"/>
    <n v="14"/>
    <n v="16"/>
    <n v="224"/>
    <n v="0.12"/>
    <n v="26.88"/>
    <x v="5"/>
  </r>
  <r>
    <s v="order_id = 31"/>
    <x v="2"/>
    <x v="1"/>
    <x v="4"/>
    <n v="16"/>
    <n v="40"/>
    <n v="640"/>
    <n v="0.09"/>
    <n v="57.599999999999994"/>
    <x v="6"/>
  </r>
  <r>
    <s v="order_id = 32"/>
    <x v="3"/>
    <x v="4"/>
    <x v="1"/>
    <n v="16"/>
    <n v="150"/>
    <n v="2400"/>
    <n v="0.05"/>
    <n v="120"/>
    <x v="7"/>
  </r>
  <r>
    <s v="order_id = 33"/>
    <x v="3"/>
    <x v="1"/>
    <x v="1"/>
    <n v="12"/>
    <n v="40"/>
    <n v="480"/>
    <n v="0.1"/>
    <n v="48"/>
    <x v="8"/>
  </r>
  <r>
    <s v="order_id = 34"/>
    <x v="3"/>
    <x v="0"/>
    <x v="4"/>
    <n v="17"/>
    <n v="80"/>
    <n v="1360"/>
    <n v="7.0000000000000007E-2"/>
    <n v="95.2"/>
    <x v="9"/>
  </r>
  <r>
    <s v="order_id = 35"/>
    <x v="3"/>
    <x v="2"/>
    <x v="3"/>
    <n v="19"/>
    <n v="230"/>
    <n v="4370"/>
    <n v="0.06"/>
    <n v="262.2"/>
    <x v="10"/>
  </r>
  <r>
    <s v="order_id = 36"/>
    <x v="3"/>
    <x v="2"/>
    <x v="4"/>
    <n v="22"/>
    <n v="230"/>
    <n v="5060"/>
    <n v="0.1"/>
    <n v="506"/>
    <x v="11"/>
  </r>
  <r>
    <s v="order_id = 37"/>
    <x v="3"/>
    <x v="1"/>
    <x v="3"/>
    <n v="22"/>
    <n v="40"/>
    <n v="880"/>
    <n v="0.01"/>
    <n v="8.8000000000000007"/>
    <x v="0"/>
  </r>
  <r>
    <s v="order_id = 38"/>
    <x v="3"/>
    <x v="3"/>
    <x v="3"/>
    <n v="10"/>
    <n v="16"/>
    <n v="160"/>
    <n v="0.04"/>
    <n v="6.4"/>
    <x v="1"/>
  </r>
  <r>
    <s v="order_id = 39"/>
    <x v="3"/>
    <x v="1"/>
    <x v="1"/>
    <n v="4"/>
    <n v="40"/>
    <n v="160"/>
    <n v="0.12"/>
    <n v="19.2"/>
    <x v="2"/>
  </r>
  <r>
    <s v="order_id = 40"/>
    <x v="3"/>
    <x v="1"/>
    <x v="4"/>
    <n v="20"/>
    <n v="40"/>
    <n v="800"/>
    <n v="0.05"/>
    <n v="40"/>
    <x v="3"/>
  </r>
  <r>
    <s v="order_id = 41"/>
    <x v="4"/>
    <x v="2"/>
    <x v="3"/>
    <n v="23"/>
    <n v="230"/>
    <n v="5290"/>
    <n v="0.06"/>
    <n v="317.39999999999998"/>
    <x v="4"/>
  </r>
  <r>
    <s v="order_id = 42"/>
    <x v="4"/>
    <x v="1"/>
    <x v="2"/>
    <n v="20"/>
    <n v="40"/>
    <n v="800"/>
    <n v="0.01"/>
    <n v="8"/>
    <x v="5"/>
  </r>
  <r>
    <s v="order_id = 43"/>
    <x v="4"/>
    <x v="4"/>
    <x v="2"/>
    <n v="20"/>
    <n v="150"/>
    <n v="3000"/>
    <n v="0.04"/>
    <n v="120"/>
    <x v="6"/>
  </r>
  <r>
    <s v="order_id = 44"/>
    <x v="4"/>
    <x v="0"/>
    <x v="1"/>
    <n v="9"/>
    <n v="80"/>
    <n v="720"/>
    <n v="0.03"/>
    <n v="21.599999999999998"/>
    <x v="7"/>
  </r>
  <r>
    <s v="order_id = 45"/>
    <x v="4"/>
    <x v="2"/>
    <x v="0"/>
    <n v="7"/>
    <n v="230"/>
    <n v="1610"/>
    <n v="0.02"/>
    <n v="32.200000000000003"/>
    <x v="8"/>
  </r>
  <r>
    <s v="order_id = 46"/>
    <x v="4"/>
    <x v="2"/>
    <x v="0"/>
    <n v="3"/>
    <n v="230"/>
    <n v="690"/>
    <n v="0.06"/>
    <n v="41.4"/>
    <x v="9"/>
  </r>
  <r>
    <s v="order_id = 47"/>
    <x v="4"/>
    <x v="4"/>
    <x v="0"/>
    <n v="13"/>
    <n v="150"/>
    <n v="1950"/>
    <n v="0.05"/>
    <n v="97.5"/>
    <x v="10"/>
  </r>
  <r>
    <s v="order_id = 48"/>
    <x v="4"/>
    <x v="0"/>
    <x v="0"/>
    <n v="17"/>
    <n v="80"/>
    <n v="1360"/>
    <n v="0.09"/>
    <n v="122.39999999999999"/>
    <x v="11"/>
  </r>
  <r>
    <s v="order_id = 49"/>
    <x v="5"/>
    <x v="1"/>
    <x v="3"/>
    <n v="18"/>
    <n v="40"/>
    <n v="720"/>
    <n v="0.06"/>
    <n v="43.199999999999996"/>
    <x v="0"/>
  </r>
  <r>
    <s v="order_id = 50"/>
    <x v="5"/>
    <x v="3"/>
    <x v="2"/>
    <n v="23"/>
    <n v="16"/>
    <n v="368"/>
    <n v="0.11"/>
    <n v="40.479999999999997"/>
    <x v="1"/>
  </r>
  <r>
    <s v="order_id = 51"/>
    <x v="5"/>
    <x v="2"/>
    <x v="2"/>
    <n v="20"/>
    <n v="230"/>
    <n v="4600"/>
    <n v="0.06"/>
    <n v="276"/>
    <x v="2"/>
  </r>
  <r>
    <s v="order_id = 52"/>
    <x v="5"/>
    <x v="3"/>
    <x v="0"/>
    <n v="11"/>
    <n v="16"/>
    <n v="176"/>
    <n v="0.09"/>
    <n v="15.84"/>
    <x v="3"/>
  </r>
  <r>
    <s v="order_id = 53"/>
    <x v="5"/>
    <x v="4"/>
    <x v="4"/>
    <n v="15"/>
    <n v="150"/>
    <n v="2250"/>
    <n v="7.0000000000000007E-2"/>
    <n v="157.50000000000003"/>
    <x v="4"/>
  </r>
  <r>
    <s v="order_id = 54"/>
    <x v="5"/>
    <x v="2"/>
    <x v="1"/>
    <n v="6"/>
    <n v="230"/>
    <n v="1380"/>
    <n v="0.1"/>
    <n v="138"/>
    <x v="5"/>
  </r>
  <r>
    <s v="order_id = 55"/>
    <x v="5"/>
    <x v="1"/>
    <x v="0"/>
    <n v="22"/>
    <n v="40"/>
    <n v="880"/>
    <n v="0.02"/>
    <n v="17.600000000000001"/>
    <x v="6"/>
  </r>
  <r>
    <s v="order_id = 56"/>
    <x v="5"/>
    <x v="1"/>
    <x v="0"/>
    <n v="15"/>
    <n v="40"/>
    <n v="600"/>
    <n v="0.06"/>
    <n v="36"/>
    <x v="7"/>
  </r>
  <r>
    <s v="order_id = 57"/>
    <x v="5"/>
    <x v="3"/>
    <x v="2"/>
    <n v="12"/>
    <n v="16"/>
    <n v="192"/>
    <n v="0.03"/>
    <n v="5.76"/>
    <x v="8"/>
  </r>
  <r>
    <s v="order_id = 58"/>
    <x v="5"/>
    <x v="3"/>
    <x v="4"/>
    <n v="22"/>
    <n v="16"/>
    <n v="352"/>
    <n v="0.12"/>
    <n v="42.239999999999995"/>
    <x v="9"/>
  </r>
  <r>
    <s v="order_id = 59"/>
    <x v="5"/>
    <x v="0"/>
    <x v="0"/>
    <n v="21"/>
    <n v="80"/>
    <n v="1680"/>
    <n v="0.04"/>
    <n v="67.2"/>
    <x v="10"/>
  </r>
  <r>
    <s v="order_id = 60"/>
    <x v="5"/>
    <x v="4"/>
    <x v="0"/>
    <n v="22"/>
    <n v="150"/>
    <n v="3300"/>
    <n v="0.05"/>
    <n v="165"/>
    <x v="11"/>
  </r>
  <r>
    <s v="order_id = 61"/>
    <x v="5"/>
    <x v="0"/>
    <x v="4"/>
    <n v="21"/>
    <n v="80"/>
    <n v="1680"/>
    <n v="0.09"/>
    <n v="151.19999999999999"/>
    <x v="0"/>
  </r>
  <r>
    <s v="order_id = 62"/>
    <x v="5"/>
    <x v="0"/>
    <x v="3"/>
    <n v="10"/>
    <n v="80"/>
    <n v="800"/>
    <n v="0.1"/>
    <n v="80"/>
    <x v="1"/>
  </r>
  <r>
    <s v="order_id = 63"/>
    <x v="5"/>
    <x v="2"/>
    <x v="1"/>
    <n v="15"/>
    <n v="230"/>
    <n v="3450"/>
    <n v="0.09"/>
    <n v="310.5"/>
    <x v="2"/>
  </r>
  <r>
    <s v="order_id = 64"/>
    <x v="6"/>
    <x v="0"/>
    <x v="0"/>
    <n v="14"/>
    <n v="80"/>
    <n v="1120"/>
    <n v="0.08"/>
    <n v="89.600000000000009"/>
    <x v="3"/>
  </r>
  <r>
    <s v="order_id = 65"/>
    <x v="6"/>
    <x v="0"/>
    <x v="4"/>
    <n v="10"/>
    <n v="80"/>
    <n v="800"/>
    <n v="0.06"/>
    <n v="48"/>
    <x v="4"/>
  </r>
  <r>
    <s v="order_id = 66"/>
    <x v="6"/>
    <x v="4"/>
    <x v="0"/>
    <n v="5"/>
    <n v="150"/>
    <n v="750"/>
    <n v="0.11"/>
    <n v="82.5"/>
    <x v="5"/>
  </r>
  <r>
    <s v="order_id = 67"/>
    <x v="6"/>
    <x v="2"/>
    <x v="3"/>
    <n v="3"/>
    <n v="230"/>
    <n v="690"/>
    <n v="0.01"/>
    <n v="6.9"/>
    <x v="6"/>
  </r>
  <r>
    <s v="order_id = 68"/>
    <x v="6"/>
    <x v="1"/>
    <x v="3"/>
    <n v="4"/>
    <n v="40"/>
    <n v="160"/>
    <n v="0.05"/>
    <n v="8"/>
    <x v="7"/>
  </r>
  <r>
    <s v="order_id = 69"/>
    <x v="6"/>
    <x v="4"/>
    <x v="2"/>
    <n v="18"/>
    <n v="150"/>
    <n v="2700"/>
    <n v="0.06"/>
    <n v="162"/>
    <x v="8"/>
  </r>
  <r>
    <s v="order_id = 70"/>
    <x v="6"/>
    <x v="1"/>
    <x v="4"/>
    <n v="20"/>
    <n v="40"/>
    <n v="800"/>
    <n v="0.1"/>
    <n v="80"/>
    <x v="9"/>
  </r>
  <r>
    <s v="order_id = 71"/>
    <x v="6"/>
    <x v="0"/>
    <x v="3"/>
    <n v="16"/>
    <n v="80"/>
    <n v="1280"/>
    <n v="0.05"/>
    <n v="64"/>
    <x v="0"/>
  </r>
  <r>
    <s v="order_id = 72"/>
    <x v="6"/>
    <x v="1"/>
    <x v="2"/>
    <n v="4"/>
    <n v="40"/>
    <n v="160"/>
    <n v="0.06"/>
    <n v="9.6"/>
    <x v="1"/>
  </r>
  <r>
    <s v="order_id = 73"/>
    <x v="6"/>
    <x v="1"/>
    <x v="1"/>
    <n v="4"/>
    <n v="40"/>
    <n v="160"/>
    <n v="0.03"/>
    <n v="4.8"/>
    <x v="2"/>
  </r>
  <r>
    <s v="order_id = 74"/>
    <x v="6"/>
    <x v="1"/>
    <x v="1"/>
    <n v="15"/>
    <n v="40"/>
    <n v="600"/>
    <n v="0.02"/>
    <n v="12"/>
    <x v="3"/>
  </r>
  <r>
    <s v="order_id = 75"/>
    <x v="6"/>
    <x v="1"/>
    <x v="2"/>
    <n v="20"/>
    <n v="40"/>
    <n v="800"/>
    <n v="0.01"/>
    <n v="8"/>
    <x v="4"/>
  </r>
  <r>
    <s v="order_id = 76"/>
    <x v="6"/>
    <x v="3"/>
    <x v="4"/>
    <n v="14"/>
    <n v="16"/>
    <n v="224"/>
    <n v="0.06"/>
    <n v="13.44"/>
    <x v="5"/>
  </r>
  <r>
    <s v="order_id = 77"/>
    <x v="7"/>
    <x v="4"/>
    <x v="2"/>
    <n v="11"/>
    <n v="150"/>
    <n v="1650"/>
    <n v="0.11"/>
    <n v="181.5"/>
    <x v="6"/>
  </r>
  <r>
    <s v="order_id = 78"/>
    <x v="7"/>
    <x v="4"/>
    <x v="2"/>
    <n v="9"/>
    <n v="150"/>
    <n v="1350"/>
    <n v="0.02"/>
    <n v="27"/>
    <x v="7"/>
  </r>
  <r>
    <s v="order_id = 79"/>
    <x v="7"/>
    <x v="3"/>
    <x v="4"/>
    <n v="11"/>
    <n v="16"/>
    <n v="176"/>
    <n v="0.12"/>
    <n v="21.119999999999997"/>
    <x v="8"/>
  </r>
  <r>
    <s v="order_id = 80"/>
    <x v="7"/>
    <x v="1"/>
    <x v="2"/>
    <n v="13"/>
    <n v="40"/>
    <n v="520"/>
    <n v="0.02"/>
    <n v="10.4"/>
    <x v="9"/>
  </r>
  <r>
    <s v="order_id = 81"/>
    <x v="7"/>
    <x v="1"/>
    <x v="2"/>
    <n v="4"/>
    <n v="40"/>
    <n v="160"/>
    <n v="0.1"/>
    <n v="16"/>
    <x v="10"/>
  </r>
  <r>
    <s v="order_id = 82"/>
    <x v="7"/>
    <x v="2"/>
    <x v="0"/>
    <n v="3"/>
    <n v="230"/>
    <n v="690"/>
    <n v="0.11"/>
    <n v="75.900000000000006"/>
    <x v="11"/>
  </r>
  <r>
    <s v="order_id = 83"/>
    <x v="7"/>
    <x v="0"/>
    <x v="2"/>
    <n v="6"/>
    <n v="80"/>
    <n v="480"/>
    <n v="0.09"/>
    <n v="43.199999999999996"/>
    <x v="0"/>
  </r>
  <r>
    <s v="order_id = 84"/>
    <x v="7"/>
    <x v="4"/>
    <x v="0"/>
    <n v="9"/>
    <n v="150"/>
    <n v="1350"/>
    <n v="0.1"/>
    <n v="135"/>
    <x v="1"/>
  </r>
  <r>
    <s v="order_id = 85"/>
    <x v="7"/>
    <x v="0"/>
    <x v="1"/>
    <n v="14"/>
    <n v="80"/>
    <n v="1120"/>
    <n v="0.11"/>
    <n v="123.2"/>
    <x v="2"/>
  </r>
  <r>
    <s v="order_id = 86"/>
    <x v="7"/>
    <x v="0"/>
    <x v="0"/>
    <n v="18"/>
    <n v="80"/>
    <n v="1440"/>
    <n v="0.02"/>
    <n v="28.8"/>
    <x v="3"/>
  </r>
  <r>
    <s v="order_id = 87"/>
    <x v="7"/>
    <x v="1"/>
    <x v="0"/>
    <n v="20"/>
    <n v="40"/>
    <n v="800"/>
    <n v="0.04"/>
    <n v="32"/>
    <x v="4"/>
  </r>
  <r>
    <s v="order_id = 88"/>
    <x v="8"/>
    <x v="3"/>
    <x v="2"/>
    <n v="8"/>
    <n v="16"/>
    <n v="128"/>
    <n v="0.03"/>
    <n v="3.84"/>
    <x v="5"/>
  </r>
  <r>
    <s v="order_id = 89"/>
    <x v="8"/>
    <x v="0"/>
    <x v="1"/>
    <n v="14"/>
    <n v="80"/>
    <n v="1120"/>
    <n v="0.06"/>
    <n v="67.2"/>
    <x v="6"/>
  </r>
  <r>
    <s v="order_id = 90"/>
    <x v="8"/>
    <x v="4"/>
    <x v="0"/>
    <n v="20"/>
    <n v="150"/>
    <n v="3000"/>
    <n v="0.01"/>
    <n v="30"/>
    <x v="7"/>
  </r>
  <r>
    <s v="order_id = 91"/>
    <x v="8"/>
    <x v="1"/>
    <x v="3"/>
    <n v="15"/>
    <n v="40"/>
    <n v="600"/>
    <n v="0.03"/>
    <n v="18"/>
    <x v="8"/>
  </r>
  <r>
    <s v="order_id = 92"/>
    <x v="8"/>
    <x v="1"/>
    <x v="1"/>
    <n v="18"/>
    <n v="40"/>
    <n v="720"/>
    <n v="0.08"/>
    <n v="57.6"/>
    <x v="9"/>
  </r>
  <r>
    <s v="order_id = 93"/>
    <x v="8"/>
    <x v="1"/>
    <x v="4"/>
    <n v="11"/>
    <n v="40"/>
    <n v="440"/>
    <n v="0.05"/>
    <n v="22"/>
    <x v="10"/>
  </r>
  <r>
    <s v="order_id = 94"/>
    <x v="9"/>
    <x v="1"/>
    <x v="4"/>
    <n v="23"/>
    <n v="40"/>
    <n v="920"/>
    <n v="0.04"/>
    <n v="36.800000000000004"/>
    <x v="11"/>
  </r>
  <r>
    <s v="order_id = 95"/>
    <x v="9"/>
    <x v="3"/>
    <x v="4"/>
    <n v="17"/>
    <n v="16"/>
    <n v="272"/>
    <n v="0.1"/>
    <n v="27.200000000000003"/>
    <x v="0"/>
  </r>
  <r>
    <s v="order_id = 96"/>
    <x v="9"/>
    <x v="3"/>
    <x v="1"/>
    <n v="4"/>
    <n v="16"/>
    <n v="64"/>
    <n v="7.0000000000000007E-2"/>
    <n v="4.4800000000000004"/>
    <x v="1"/>
  </r>
  <r>
    <s v="order_id = 97"/>
    <x v="9"/>
    <x v="0"/>
    <x v="2"/>
    <n v="23"/>
    <n v="80"/>
    <n v="1840"/>
    <n v="0.05"/>
    <n v="92"/>
    <x v="2"/>
  </r>
  <r>
    <s v="order_id = 98"/>
    <x v="9"/>
    <x v="2"/>
    <x v="2"/>
    <n v="10"/>
    <n v="230"/>
    <n v="2300"/>
    <n v="0.02"/>
    <n v="46"/>
    <x v="3"/>
  </r>
  <r>
    <s v="order_id = 99"/>
    <x v="9"/>
    <x v="3"/>
    <x v="2"/>
    <n v="14"/>
    <n v="16"/>
    <n v="224"/>
    <n v="0.01"/>
    <n v="2.2400000000000002"/>
    <x v="4"/>
  </r>
  <r>
    <s v="order_id = 100"/>
    <x v="9"/>
    <x v="1"/>
    <x v="1"/>
    <n v="19"/>
    <n v="40"/>
    <n v="760"/>
    <n v="0.1"/>
    <n v="76"/>
    <x v="5"/>
  </r>
  <r>
    <s v="order_id = 101"/>
    <x v="9"/>
    <x v="0"/>
    <x v="4"/>
    <n v="22"/>
    <n v="80"/>
    <n v="1760"/>
    <n v="0.09"/>
    <n v="158.4"/>
    <x v="6"/>
  </r>
  <r>
    <s v="order_id = 102"/>
    <x v="9"/>
    <x v="3"/>
    <x v="0"/>
    <n v="18"/>
    <n v="16"/>
    <n v="288"/>
    <n v="0.05"/>
    <n v="14.4"/>
    <x v="7"/>
  </r>
  <r>
    <s v="order_id = 103"/>
    <x v="9"/>
    <x v="1"/>
    <x v="0"/>
    <n v="18"/>
    <n v="40"/>
    <n v="720"/>
    <n v="0.11"/>
    <n v="79.2"/>
    <x v="8"/>
  </r>
  <r>
    <s v="order_id = 104"/>
    <x v="9"/>
    <x v="1"/>
    <x v="4"/>
    <n v="21"/>
    <n v="40"/>
    <n v="840"/>
    <n v="0.01"/>
    <n v="8.4"/>
    <x v="9"/>
  </r>
  <r>
    <s v="order_id = 105"/>
    <x v="9"/>
    <x v="0"/>
    <x v="0"/>
    <n v="6"/>
    <n v="80"/>
    <n v="480"/>
    <n v="7.0000000000000007E-2"/>
    <n v="33.6"/>
    <x v="10"/>
  </r>
  <r>
    <s v="order_id = 106"/>
    <x v="9"/>
    <x v="4"/>
    <x v="4"/>
    <n v="17"/>
    <n v="150"/>
    <n v="2550"/>
    <n v="0.02"/>
    <n v="51"/>
    <x v="11"/>
  </r>
  <r>
    <s v="order_id = 107"/>
    <x v="9"/>
    <x v="0"/>
    <x v="2"/>
    <n v="16"/>
    <n v="80"/>
    <n v="1280"/>
    <n v="0.02"/>
    <n v="25.6"/>
    <x v="0"/>
  </r>
  <r>
    <s v="order_id = 108"/>
    <x v="9"/>
    <x v="1"/>
    <x v="1"/>
    <n v="15"/>
    <n v="40"/>
    <n v="600"/>
    <n v="0.04"/>
    <n v="24"/>
    <x v="1"/>
  </r>
  <r>
    <s v="order_id = 109"/>
    <x v="9"/>
    <x v="2"/>
    <x v="3"/>
    <n v="2"/>
    <n v="230"/>
    <n v="460"/>
    <n v="0.08"/>
    <n v="36.800000000000004"/>
    <x v="2"/>
  </r>
  <r>
    <s v="order_id = 110"/>
    <x v="9"/>
    <x v="1"/>
    <x v="4"/>
    <n v="3"/>
    <n v="40"/>
    <n v="120"/>
    <n v="0.03"/>
    <n v="3.5999999999999996"/>
    <x v="3"/>
  </r>
  <r>
    <s v="order_id = 111"/>
    <x v="9"/>
    <x v="2"/>
    <x v="4"/>
    <n v="21"/>
    <n v="230"/>
    <n v="4830"/>
    <n v="0.05"/>
    <n v="241.5"/>
    <x v="4"/>
  </r>
  <r>
    <s v="order_id = 112"/>
    <x v="9"/>
    <x v="4"/>
    <x v="0"/>
    <n v="11"/>
    <n v="150"/>
    <n v="1650"/>
    <n v="0.05"/>
    <n v="82.5"/>
    <x v="5"/>
  </r>
  <r>
    <s v="order_id = 113"/>
    <x v="10"/>
    <x v="4"/>
    <x v="1"/>
    <n v="15"/>
    <n v="150"/>
    <n v="2250"/>
    <n v="0.02"/>
    <n v="45"/>
    <x v="6"/>
  </r>
  <r>
    <s v="order_id = 114"/>
    <x v="10"/>
    <x v="0"/>
    <x v="3"/>
    <n v="16"/>
    <n v="80"/>
    <n v="1280"/>
    <n v="0.1"/>
    <n v="128"/>
    <x v="7"/>
  </r>
  <r>
    <s v="order_id = 115"/>
    <x v="10"/>
    <x v="2"/>
    <x v="4"/>
    <n v="17"/>
    <n v="230"/>
    <n v="3910"/>
    <n v="0.11"/>
    <n v="430.1"/>
    <x v="8"/>
  </r>
  <r>
    <s v="order_id = 116"/>
    <x v="10"/>
    <x v="1"/>
    <x v="4"/>
    <n v="16"/>
    <n v="40"/>
    <n v="640"/>
    <n v="0.11"/>
    <n v="70.400000000000006"/>
    <x v="9"/>
  </r>
  <r>
    <s v="order_id = 117"/>
    <x v="10"/>
    <x v="0"/>
    <x v="3"/>
    <n v="2"/>
    <n v="80"/>
    <n v="160"/>
    <n v="0.08"/>
    <n v="12.8"/>
    <x v="10"/>
  </r>
  <r>
    <s v="order_id = 118"/>
    <x v="10"/>
    <x v="4"/>
    <x v="1"/>
    <n v="22"/>
    <n v="150"/>
    <n v="3300"/>
    <n v="0.02"/>
    <n v="66"/>
    <x v="11"/>
  </r>
  <r>
    <s v="order_id = 119"/>
    <x v="10"/>
    <x v="0"/>
    <x v="0"/>
    <n v="16"/>
    <n v="80"/>
    <n v="1280"/>
    <n v="0.03"/>
    <n v="38.4"/>
    <x v="0"/>
  </r>
  <r>
    <s v="order_id = 120"/>
    <x v="11"/>
    <x v="3"/>
    <x v="0"/>
    <n v="20"/>
    <n v="16"/>
    <n v="320"/>
    <n v="0.11"/>
    <n v="35.200000000000003"/>
    <x v="1"/>
  </r>
  <r>
    <s v="order_id = 121"/>
    <x v="11"/>
    <x v="0"/>
    <x v="4"/>
    <n v="9"/>
    <n v="80"/>
    <n v="720"/>
    <n v="7.0000000000000007E-2"/>
    <n v="50.400000000000006"/>
    <x v="2"/>
  </r>
  <r>
    <s v="order_id = 122"/>
    <x v="11"/>
    <x v="2"/>
    <x v="4"/>
    <n v="5"/>
    <n v="230"/>
    <n v="1150"/>
    <n v="0.12"/>
    <n v="138"/>
    <x v="3"/>
  </r>
  <r>
    <s v="order_id = 123"/>
    <x v="11"/>
    <x v="3"/>
    <x v="0"/>
    <n v="20"/>
    <n v="16"/>
    <n v="320"/>
    <n v="0.01"/>
    <n v="3.2"/>
    <x v="4"/>
  </r>
  <r>
    <s v="order_id = 124"/>
    <x v="11"/>
    <x v="3"/>
    <x v="0"/>
    <n v="16"/>
    <n v="16"/>
    <n v="256"/>
    <n v="0.03"/>
    <n v="7.68"/>
    <x v="5"/>
  </r>
  <r>
    <s v="order_id = 125"/>
    <x v="11"/>
    <x v="4"/>
    <x v="3"/>
    <n v="15"/>
    <n v="150"/>
    <n v="2250"/>
    <n v="0.05"/>
    <n v="112.5"/>
    <x v="6"/>
  </r>
  <r>
    <s v="order_id = 126"/>
    <x v="11"/>
    <x v="2"/>
    <x v="1"/>
    <n v="19"/>
    <n v="230"/>
    <n v="4370"/>
    <n v="0.11"/>
    <n v="480.7"/>
    <x v="7"/>
  </r>
  <r>
    <s v="order_id = 127"/>
    <x v="12"/>
    <x v="4"/>
    <x v="2"/>
    <n v="2"/>
    <n v="150"/>
    <n v="300"/>
    <n v="0.02"/>
    <n v="6"/>
    <x v="8"/>
  </r>
  <r>
    <s v="order_id = 128"/>
    <x v="12"/>
    <x v="0"/>
    <x v="4"/>
    <n v="16"/>
    <n v="80"/>
    <n v="1280"/>
    <n v="0.05"/>
    <n v="64"/>
    <x v="9"/>
  </r>
  <r>
    <s v="order_id = 129"/>
    <x v="12"/>
    <x v="1"/>
    <x v="2"/>
    <n v="2"/>
    <n v="40"/>
    <n v="80"/>
    <n v="0.03"/>
    <n v="2.4"/>
    <x v="10"/>
  </r>
  <r>
    <s v="order_id = 130"/>
    <x v="12"/>
    <x v="0"/>
    <x v="1"/>
    <n v="5"/>
    <n v="80"/>
    <n v="400"/>
    <n v="0.04"/>
    <n v="16"/>
    <x v="11"/>
  </r>
  <r>
    <s v="order_id = 131"/>
    <x v="12"/>
    <x v="2"/>
    <x v="3"/>
    <n v="17"/>
    <n v="230"/>
    <n v="3910"/>
    <n v="0.12"/>
    <n v="469.2"/>
    <x v="0"/>
  </r>
  <r>
    <s v="order_id = 132"/>
    <x v="12"/>
    <x v="0"/>
    <x v="0"/>
    <n v="8"/>
    <n v="80"/>
    <n v="640"/>
    <n v="0.08"/>
    <n v="51.2"/>
    <x v="1"/>
  </r>
  <r>
    <s v="order_id = 133"/>
    <x v="12"/>
    <x v="1"/>
    <x v="1"/>
    <n v="4"/>
    <n v="40"/>
    <n v="160"/>
    <n v="0.06"/>
    <n v="9.6"/>
    <x v="2"/>
  </r>
  <r>
    <s v="order_id = 134"/>
    <x v="12"/>
    <x v="3"/>
    <x v="2"/>
    <n v="17"/>
    <n v="16"/>
    <n v="272"/>
    <n v="0.05"/>
    <n v="13.600000000000001"/>
    <x v="3"/>
  </r>
  <r>
    <s v="order_id = 135"/>
    <x v="12"/>
    <x v="2"/>
    <x v="3"/>
    <n v="8"/>
    <n v="230"/>
    <n v="1840"/>
    <n v="0.01"/>
    <n v="18.400000000000002"/>
    <x v="4"/>
  </r>
  <r>
    <s v="order_id = 136"/>
    <x v="12"/>
    <x v="3"/>
    <x v="4"/>
    <n v="19"/>
    <n v="16"/>
    <n v="304"/>
    <n v="0.02"/>
    <n v="6.08"/>
    <x v="5"/>
  </r>
  <r>
    <s v="order_id = 137"/>
    <x v="13"/>
    <x v="1"/>
    <x v="0"/>
    <n v="18"/>
    <n v="40"/>
    <n v="720"/>
    <n v="0.06"/>
    <n v="43.199999999999996"/>
    <x v="6"/>
  </r>
  <r>
    <s v="order_id = 138"/>
    <x v="13"/>
    <x v="4"/>
    <x v="4"/>
    <n v="23"/>
    <n v="150"/>
    <n v="3450"/>
    <n v="0.08"/>
    <n v="276"/>
    <x v="7"/>
  </r>
  <r>
    <s v="order_id = 139"/>
    <x v="13"/>
    <x v="2"/>
    <x v="0"/>
    <n v="5"/>
    <n v="230"/>
    <n v="1150"/>
    <n v="0.1"/>
    <n v="115"/>
    <x v="8"/>
  </r>
  <r>
    <s v="order_id = 140"/>
    <x v="13"/>
    <x v="0"/>
    <x v="3"/>
    <n v="21"/>
    <n v="80"/>
    <n v="1680"/>
    <n v="0.02"/>
    <n v="33.6"/>
    <x v="9"/>
  </r>
  <r>
    <s v="order_id = 141"/>
    <x v="13"/>
    <x v="3"/>
    <x v="2"/>
    <n v="6"/>
    <n v="16"/>
    <n v="96"/>
    <n v="7.0000000000000007E-2"/>
    <n v="6.7200000000000006"/>
    <x v="0"/>
  </r>
  <r>
    <s v="order_id = 142"/>
    <x v="13"/>
    <x v="1"/>
    <x v="0"/>
    <n v="9"/>
    <n v="40"/>
    <n v="360"/>
    <n v="0.01"/>
    <n v="3.6"/>
    <x v="1"/>
  </r>
  <r>
    <s v="order_id = 143"/>
    <x v="13"/>
    <x v="2"/>
    <x v="1"/>
    <n v="9"/>
    <n v="230"/>
    <n v="2070"/>
    <n v="0.03"/>
    <n v="62.099999999999994"/>
    <x v="2"/>
  </r>
  <r>
    <s v="order_id = 144"/>
    <x v="13"/>
    <x v="2"/>
    <x v="2"/>
    <n v="5"/>
    <n v="230"/>
    <n v="1150"/>
    <n v="0.1"/>
    <n v="115"/>
    <x v="3"/>
  </r>
  <r>
    <s v="order_id = 145"/>
    <x v="13"/>
    <x v="1"/>
    <x v="3"/>
    <n v="7"/>
    <n v="40"/>
    <n v="280"/>
    <n v="0.11"/>
    <n v="30.8"/>
    <x v="4"/>
  </r>
  <r>
    <s v="order_id = 146"/>
    <x v="13"/>
    <x v="2"/>
    <x v="0"/>
    <n v="20"/>
    <n v="230"/>
    <n v="4600"/>
    <n v="0.04"/>
    <n v="184"/>
    <x v="5"/>
  </r>
  <r>
    <s v="order_id = 147"/>
    <x v="13"/>
    <x v="4"/>
    <x v="0"/>
    <n v="22"/>
    <n v="150"/>
    <n v="3300"/>
    <n v="7.0000000000000007E-2"/>
    <n v="231.00000000000003"/>
    <x v="6"/>
  </r>
  <r>
    <s v="order_id = 148"/>
    <x v="14"/>
    <x v="2"/>
    <x v="2"/>
    <n v="6"/>
    <n v="230"/>
    <n v="1380"/>
    <n v="0.05"/>
    <n v="69"/>
    <x v="7"/>
  </r>
  <r>
    <s v="order_id = 149"/>
    <x v="14"/>
    <x v="2"/>
    <x v="2"/>
    <n v="15"/>
    <n v="230"/>
    <n v="3450"/>
    <n v="0.11"/>
    <n v="379.5"/>
    <x v="8"/>
  </r>
  <r>
    <s v="order_id = 150"/>
    <x v="14"/>
    <x v="1"/>
    <x v="1"/>
    <n v="8"/>
    <n v="40"/>
    <n v="320"/>
    <n v="0.09"/>
    <n v="28.799999999999997"/>
    <x v="9"/>
  </r>
  <r>
    <s v="order_id = 151"/>
    <x v="14"/>
    <x v="1"/>
    <x v="0"/>
    <n v="5"/>
    <n v="40"/>
    <n v="200"/>
    <n v="0.06"/>
    <n v="12"/>
    <x v="10"/>
  </r>
  <r>
    <s v="order_id = 152"/>
    <x v="14"/>
    <x v="0"/>
    <x v="4"/>
    <n v="6"/>
    <n v="80"/>
    <n v="480"/>
    <n v="0.09"/>
    <n v="43.199999999999996"/>
    <x v="11"/>
  </r>
  <r>
    <s v="order_id = 153"/>
    <x v="14"/>
    <x v="1"/>
    <x v="3"/>
    <n v="22"/>
    <n v="40"/>
    <n v="880"/>
    <n v="0.01"/>
    <n v="8.8000000000000007"/>
    <x v="0"/>
  </r>
  <r>
    <s v="order_id = 154"/>
    <x v="14"/>
    <x v="3"/>
    <x v="0"/>
    <n v="7"/>
    <n v="16"/>
    <n v="112"/>
    <n v="0.08"/>
    <n v="8.9600000000000009"/>
    <x v="1"/>
  </r>
  <r>
    <s v="order_id = 155"/>
    <x v="14"/>
    <x v="4"/>
    <x v="2"/>
    <n v="22"/>
    <n v="150"/>
    <n v="3300"/>
    <n v="0.04"/>
    <n v="132"/>
    <x v="2"/>
  </r>
  <r>
    <s v="order_id = 156"/>
    <x v="14"/>
    <x v="3"/>
    <x v="3"/>
    <n v="15"/>
    <n v="16"/>
    <n v="240"/>
    <n v="0.12"/>
    <n v="28.799999999999997"/>
    <x v="3"/>
  </r>
  <r>
    <s v="order_id = 157"/>
    <x v="14"/>
    <x v="0"/>
    <x v="2"/>
    <n v="20"/>
    <n v="80"/>
    <n v="1600"/>
    <n v="7.0000000000000007E-2"/>
    <n v="112.00000000000001"/>
    <x v="4"/>
  </r>
  <r>
    <s v="order_id = 158"/>
    <x v="14"/>
    <x v="0"/>
    <x v="2"/>
    <n v="7"/>
    <n v="80"/>
    <n v="560"/>
    <n v="0.05"/>
    <n v="28"/>
    <x v="5"/>
  </r>
  <r>
    <s v="order_id = 159"/>
    <x v="14"/>
    <x v="0"/>
    <x v="1"/>
    <n v="10"/>
    <n v="80"/>
    <n v="800"/>
    <n v="0.11"/>
    <n v="88"/>
    <x v="6"/>
  </r>
  <r>
    <s v="order_id = 160"/>
    <x v="14"/>
    <x v="0"/>
    <x v="1"/>
    <n v="2"/>
    <n v="80"/>
    <n v="160"/>
    <n v="7.0000000000000007E-2"/>
    <n v="11.200000000000001"/>
    <x v="7"/>
  </r>
  <r>
    <s v="order_id = 161"/>
    <x v="14"/>
    <x v="3"/>
    <x v="4"/>
    <n v="23"/>
    <n v="16"/>
    <n v="368"/>
    <n v="0.01"/>
    <n v="3.68"/>
    <x v="8"/>
  </r>
  <r>
    <s v="order_id = 162"/>
    <x v="14"/>
    <x v="2"/>
    <x v="1"/>
    <n v="12"/>
    <n v="230"/>
    <n v="2760"/>
    <n v="0.03"/>
    <n v="82.8"/>
    <x v="9"/>
  </r>
  <r>
    <s v="order_id = 163"/>
    <x v="15"/>
    <x v="2"/>
    <x v="0"/>
    <n v="7"/>
    <n v="230"/>
    <n v="1610"/>
    <n v="0.08"/>
    <n v="128.80000000000001"/>
    <x v="10"/>
  </r>
  <r>
    <s v="order_id = 164"/>
    <x v="15"/>
    <x v="1"/>
    <x v="3"/>
    <n v="11"/>
    <n v="40"/>
    <n v="440"/>
    <n v="0.06"/>
    <n v="26.4"/>
    <x v="11"/>
  </r>
  <r>
    <s v="order_id = 165"/>
    <x v="15"/>
    <x v="2"/>
    <x v="1"/>
    <n v="7"/>
    <n v="230"/>
    <n v="1610"/>
    <n v="0.08"/>
    <n v="128.80000000000001"/>
    <x v="0"/>
  </r>
  <r>
    <s v="order_id = 166"/>
    <x v="15"/>
    <x v="0"/>
    <x v="0"/>
    <n v="8"/>
    <n v="80"/>
    <n v="640"/>
    <n v="0.09"/>
    <n v="57.599999999999994"/>
    <x v="1"/>
  </r>
  <r>
    <s v="order_id = 167"/>
    <x v="15"/>
    <x v="0"/>
    <x v="3"/>
    <n v="16"/>
    <n v="80"/>
    <n v="1280"/>
    <n v="7.0000000000000007E-2"/>
    <n v="89.600000000000009"/>
    <x v="2"/>
  </r>
  <r>
    <s v="order_id = 168"/>
    <x v="15"/>
    <x v="0"/>
    <x v="2"/>
    <n v="16"/>
    <n v="80"/>
    <n v="1280"/>
    <n v="0.04"/>
    <n v="51.2"/>
    <x v="3"/>
  </r>
  <r>
    <s v="order_id = 169"/>
    <x v="15"/>
    <x v="3"/>
    <x v="2"/>
    <n v="9"/>
    <n v="16"/>
    <n v="144"/>
    <n v="0.05"/>
    <n v="7.2"/>
    <x v="4"/>
  </r>
  <r>
    <s v="order_id = 170"/>
    <x v="15"/>
    <x v="4"/>
    <x v="4"/>
    <n v="11"/>
    <n v="150"/>
    <n v="1650"/>
    <n v="0.09"/>
    <n v="148.5"/>
    <x v="5"/>
  </r>
  <r>
    <s v="order_id = 171"/>
    <x v="15"/>
    <x v="3"/>
    <x v="0"/>
    <n v="4"/>
    <n v="16"/>
    <n v="64"/>
    <n v="0.12"/>
    <n v="7.68"/>
    <x v="6"/>
  </r>
  <r>
    <s v="order_id = 172"/>
    <x v="15"/>
    <x v="1"/>
    <x v="3"/>
    <n v="15"/>
    <n v="40"/>
    <n v="600"/>
    <n v="0.03"/>
    <n v="18"/>
    <x v="7"/>
  </r>
  <r>
    <s v="order_id = 173"/>
    <x v="15"/>
    <x v="1"/>
    <x v="4"/>
    <n v="20"/>
    <n v="40"/>
    <n v="800"/>
    <n v="0.03"/>
    <n v="24"/>
    <x v="8"/>
  </r>
  <r>
    <s v="order_id = 174"/>
    <x v="16"/>
    <x v="4"/>
    <x v="2"/>
    <n v="9"/>
    <n v="150"/>
    <n v="1350"/>
    <n v="0.06"/>
    <n v="81"/>
    <x v="9"/>
  </r>
  <r>
    <s v="order_id = 175"/>
    <x v="16"/>
    <x v="1"/>
    <x v="1"/>
    <n v="23"/>
    <n v="40"/>
    <n v="920"/>
    <n v="0.06"/>
    <n v="55.199999999999996"/>
    <x v="10"/>
  </r>
  <r>
    <s v="order_id = 176"/>
    <x v="16"/>
    <x v="0"/>
    <x v="4"/>
    <n v="13"/>
    <n v="80"/>
    <n v="1040"/>
    <n v="0.05"/>
    <n v="52"/>
    <x v="11"/>
  </r>
  <r>
    <s v="order_id = 177"/>
    <x v="16"/>
    <x v="3"/>
    <x v="0"/>
    <n v="22"/>
    <n v="16"/>
    <n v="352"/>
    <n v="0.01"/>
    <n v="3.52"/>
    <x v="0"/>
  </r>
  <r>
    <s v="order_id = 178"/>
    <x v="16"/>
    <x v="1"/>
    <x v="0"/>
    <n v="19"/>
    <n v="40"/>
    <n v="760"/>
    <n v="0.04"/>
    <n v="30.400000000000002"/>
    <x v="1"/>
  </r>
  <r>
    <s v="order_id = 179"/>
    <x v="16"/>
    <x v="0"/>
    <x v="3"/>
    <n v="4"/>
    <n v="80"/>
    <n v="320"/>
    <n v="0.11"/>
    <n v="35.200000000000003"/>
    <x v="2"/>
  </r>
  <r>
    <s v="order_id = 180"/>
    <x v="16"/>
    <x v="3"/>
    <x v="0"/>
    <n v="12"/>
    <n v="16"/>
    <n v="192"/>
    <n v="0.11"/>
    <n v="21.12"/>
    <x v="3"/>
  </r>
  <r>
    <s v="order_id = 181"/>
    <x v="16"/>
    <x v="4"/>
    <x v="1"/>
    <n v="16"/>
    <n v="150"/>
    <n v="2400"/>
    <n v="0.08"/>
    <n v="192"/>
    <x v="4"/>
  </r>
  <r>
    <s v="order_id = 182"/>
    <x v="16"/>
    <x v="0"/>
    <x v="0"/>
    <n v="7"/>
    <n v="80"/>
    <n v="560"/>
    <n v="0.02"/>
    <n v="11.200000000000001"/>
    <x v="5"/>
  </r>
  <r>
    <s v="order_id = 183"/>
    <x v="16"/>
    <x v="1"/>
    <x v="4"/>
    <n v="20"/>
    <n v="40"/>
    <n v="800"/>
    <n v="7.0000000000000007E-2"/>
    <n v="56.000000000000007"/>
    <x v="6"/>
  </r>
  <r>
    <s v="order_id = 184"/>
    <x v="16"/>
    <x v="0"/>
    <x v="1"/>
    <n v="15"/>
    <n v="80"/>
    <n v="1200"/>
    <n v="0.12"/>
    <n v="144"/>
    <x v="7"/>
  </r>
  <r>
    <s v="order_id = 185"/>
    <x v="16"/>
    <x v="1"/>
    <x v="0"/>
    <n v="5"/>
    <n v="40"/>
    <n v="200"/>
    <n v="0.09"/>
    <n v="18"/>
    <x v="8"/>
  </r>
  <r>
    <s v="order_id = 186"/>
    <x v="16"/>
    <x v="3"/>
    <x v="4"/>
    <n v="12"/>
    <n v="16"/>
    <n v="192"/>
    <n v="0.04"/>
    <n v="7.68"/>
    <x v="9"/>
  </r>
  <r>
    <s v="order_id = 187"/>
    <x v="17"/>
    <x v="4"/>
    <x v="3"/>
    <n v="3"/>
    <n v="150"/>
    <n v="450"/>
    <n v="0.01"/>
    <n v="4.5"/>
    <x v="10"/>
  </r>
  <r>
    <s v="order_id = 188"/>
    <x v="17"/>
    <x v="1"/>
    <x v="4"/>
    <n v="7"/>
    <n v="40"/>
    <n v="280"/>
    <n v="0.12"/>
    <n v="33.6"/>
    <x v="11"/>
  </r>
  <r>
    <s v="order_id = 189"/>
    <x v="17"/>
    <x v="0"/>
    <x v="1"/>
    <n v="2"/>
    <n v="80"/>
    <n v="160"/>
    <n v="0.04"/>
    <n v="6.4"/>
    <x v="0"/>
  </r>
  <r>
    <s v="order_id = 190"/>
    <x v="17"/>
    <x v="1"/>
    <x v="3"/>
    <n v="6"/>
    <n v="40"/>
    <n v="240"/>
    <n v="7.0000000000000007E-2"/>
    <n v="16.8"/>
    <x v="1"/>
  </r>
  <r>
    <s v="order_id = 191"/>
    <x v="17"/>
    <x v="3"/>
    <x v="2"/>
    <n v="6"/>
    <n v="16"/>
    <n v="96"/>
    <n v="0.06"/>
    <n v="5.76"/>
    <x v="2"/>
  </r>
  <r>
    <s v="order_id = 192"/>
    <x v="17"/>
    <x v="3"/>
    <x v="0"/>
    <n v="7"/>
    <n v="16"/>
    <n v="112"/>
    <n v="0.02"/>
    <n v="2.2400000000000002"/>
    <x v="3"/>
  </r>
  <r>
    <s v="order_id = 193"/>
    <x v="17"/>
    <x v="3"/>
    <x v="1"/>
    <n v="20"/>
    <n v="16"/>
    <n v="320"/>
    <n v="0.06"/>
    <n v="19.2"/>
    <x v="4"/>
  </r>
  <r>
    <s v="order_id = 194"/>
    <x v="17"/>
    <x v="3"/>
    <x v="1"/>
    <n v="21"/>
    <n v="16"/>
    <n v="336"/>
    <n v="0.02"/>
    <n v="6.72"/>
    <x v="5"/>
  </r>
  <r>
    <s v="order_id = 195"/>
    <x v="17"/>
    <x v="0"/>
    <x v="3"/>
    <n v="21"/>
    <n v="80"/>
    <n v="1680"/>
    <n v="0.05"/>
    <n v="84"/>
    <x v="6"/>
  </r>
  <r>
    <s v="order_id = 196"/>
    <x v="17"/>
    <x v="3"/>
    <x v="3"/>
    <n v="10"/>
    <n v="16"/>
    <n v="160"/>
    <n v="0.01"/>
    <n v="1.6"/>
    <x v="7"/>
  </r>
  <r>
    <s v="order_id = 197"/>
    <x v="18"/>
    <x v="2"/>
    <x v="3"/>
    <n v="2"/>
    <n v="230"/>
    <n v="460"/>
    <n v="0.09"/>
    <n v="41.4"/>
    <x v="8"/>
  </r>
  <r>
    <s v="order_id = 198"/>
    <x v="18"/>
    <x v="4"/>
    <x v="0"/>
    <n v="20"/>
    <n v="150"/>
    <n v="3000"/>
    <n v="0.03"/>
    <n v="90"/>
    <x v="9"/>
  </r>
  <r>
    <s v="order_id = 199"/>
    <x v="18"/>
    <x v="1"/>
    <x v="0"/>
    <n v="23"/>
    <n v="40"/>
    <n v="920"/>
    <n v="0.03"/>
    <n v="27.599999999999998"/>
    <x v="10"/>
  </r>
  <r>
    <s v="order_id = 200"/>
    <x v="18"/>
    <x v="0"/>
    <x v="3"/>
    <n v="17"/>
    <n v="80"/>
    <n v="1360"/>
    <n v="0.05"/>
    <n v="68"/>
    <x v="11"/>
  </r>
  <r>
    <s v="order_id = 201"/>
    <x v="18"/>
    <x v="2"/>
    <x v="3"/>
    <n v="11"/>
    <n v="230"/>
    <n v="2530"/>
    <n v="0.12"/>
    <n v="303.59999999999997"/>
    <x v="0"/>
  </r>
  <r>
    <s v="order_id = 202"/>
    <x v="18"/>
    <x v="4"/>
    <x v="1"/>
    <n v="10"/>
    <n v="150"/>
    <n v="1500"/>
    <n v="0.01"/>
    <n v="15"/>
    <x v="1"/>
  </r>
  <r>
    <s v="order_id = 203"/>
    <x v="18"/>
    <x v="0"/>
    <x v="1"/>
    <n v="17"/>
    <n v="80"/>
    <n v="1360"/>
    <n v="0.03"/>
    <n v="40.799999999999997"/>
    <x v="2"/>
  </r>
  <r>
    <s v="order_id = 204"/>
    <x v="19"/>
    <x v="2"/>
    <x v="0"/>
    <n v="9"/>
    <n v="230"/>
    <n v="2070"/>
    <n v="7.0000000000000007E-2"/>
    <n v="144.9"/>
    <x v="3"/>
  </r>
  <r>
    <s v="order_id = 205"/>
    <x v="19"/>
    <x v="2"/>
    <x v="0"/>
    <n v="11"/>
    <n v="230"/>
    <n v="2530"/>
    <n v="0.02"/>
    <n v="50.6"/>
    <x v="4"/>
  </r>
  <r>
    <s v="order_id = 206"/>
    <x v="19"/>
    <x v="1"/>
    <x v="2"/>
    <n v="2"/>
    <n v="40"/>
    <n v="80"/>
    <n v="0.02"/>
    <n v="1.6"/>
    <x v="5"/>
  </r>
  <r>
    <s v="order_id = 207"/>
    <x v="19"/>
    <x v="2"/>
    <x v="4"/>
    <n v="3"/>
    <n v="230"/>
    <n v="690"/>
    <n v="0.1"/>
    <n v="69"/>
    <x v="6"/>
  </r>
  <r>
    <s v="order_id = 208"/>
    <x v="19"/>
    <x v="1"/>
    <x v="4"/>
    <n v="7"/>
    <n v="40"/>
    <n v="280"/>
    <n v="0.05"/>
    <n v="14"/>
    <x v="7"/>
  </r>
  <r>
    <s v="order_id = 209"/>
    <x v="19"/>
    <x v="4"/>
    <x v="1"/>
    <n v="20"/>
    <n v="150"/>
    <n v="3000"/>
    <n v="0.09"/>
    <n v="270"/>
    <x v="8"/>
  </r>
  <r>
    <s v="order_id = 210"/>
    <x v="19"/>
    <x v="1"/>
    <x v="2"/>
    <n v="4"/>
    <n v="40"/>
    <n v="160"/>
    <n v="0.11"/>
    <n v="17.600000000000001"/>
    <x v="9"/>
  </r>
  <r>
    <s v="order_id = 211"/>
    <x v="20"/>
    <x v="2"/>
    <x v="2"/>
    <n v="2"/>
    <n v="230"/>
    <n v="460"/>
    <n v="0.09"/>
    <n v="41.4"/>
    <x v="0"/>
  </r>
  <r>
    <s v="order_id = 212"/>
    <x v="20"/>
    <x v="1"/>
    <x v="1"/>
    <n v="7"/>
    <n v="40"/>
    <n v="280"/>
    <n v="0.01"/>
    <n v="2.8000000000000003"/>
    <x v="1"/>
  </r>
  <r>
    <s v="order_id = 213"/>
    <x v="20"/>
    <x v="1"/>
    <x v="0"/>
    <n v="2"/>
    <n v="40"/>
    <n v="80"/>
    <n v="0.12"/>
    <n v="9.6"/>
    <x v="2"/>
  </r>
  <r>
    <s v="order_id = 214"/>
    <x v="20"/>
    <x v="0"/>
    <x v="1"/>
    <n v="3"/>
    <n v="80"/>
    <n v="240"/>
    <n v="0.02"/>
    <n v="4.8"/>
    <x v="3"/>
  </r>
  <r>
    <s v="order_id = 215"/>
    <x v="20"/>
    <x v="3"/>
    <x v="0"/>
    <n v="18"/>
    <n v="16"/>
    <n v="288"/>
    <n v="0.11"/>
    <n v="31.68"/>
    <x v="4"/>
  </r>
  <r>
    <s v="order_id = 216"/>
    <x v="20"/>
    <x v="0"/>
    <x v="1"/>
    <n v="5"/>
    <n v="80"/>
    <n v="400"/>
    <n v="7.0000000000000007E-2"/>
    <n v="28.000000000000004"/>
    <x v="5"/>
  </r>
  <r>
    <s v="order_id = 217"/>
    <x v="20"/>
    <x v="3"/>
    <x v="2"/>
    <n v="3"/>
    <n v="16"/>
    <n v="48"/>
    <n v="0.05"/>
    <n v="2.4000000000000004"/>
    <x v="6"/>
  </r>
  <r>
    <s v="order_id = 218"/>
    <x v="20"/>
    <x v="0"/>
    <x v="3"/>
    <n v="7"/>
    <n v="80"/>
    <n v="560"/>
    <n v="0.02"/>
    <n v="11.200000000000001"/>
    <x v="7"/>
  </r>
  <r>
    <s v="order_id = 219"/>
    <x v="20"/>
    <x v="4"/>
    <x v="3"/>
    <n v="15"/>
    <n v="150"/>
    <n v="2250"/>
    <n v="0.08"/>
    <n v="180"/>
    <x v="8"/>
  </r>
  <r>
    <s v="order_id = 220"/>
    <x v="20"/>
    <x v="0"/>
    <x v="2"/>
    <n v="10"/>
    <n v="80"/>
    <n v="800"/>
    <n v="0.11"/>
    <n v="88"/>
    <x v="9"/>
  </r>
  <r>
    <s v="order_id = 221"/>
    <x v="20"/>
    <x v="2"/>
    <x v="4"/>
    <n v="13"/>
    <n v="230"/>
    <n v="2990"/>
    <n v="0.06"/>
    <n v="179.4"/>
    <x v="10"/>
  </r>
  <r>
    <s v="order_id = 222"/>
    <x v="20"/>
    <x v="1"/>
    <x v="0"/>
    <n v="7"/>
    <n v="40"/>
    <n v="280"/>
    <n v="0.1"/>
    <n v="28"/>
    <x v="11"/>
  </r>
  <r>
    <s v="order_id = 223"/>
    <x v="20"/>
    <x v="3"/>
    <x v="2"/>
    <n v="6"/>
    <n v="16"/>
    <n v="96"/>
    <n v="0.01"/>
    <n v="0.96"/>
    <x v="0"/>
  </r>
  <r>
    <s v="order_id = 224"/>
    <x v="21"/>
    <x v="1"/>
    <x v="2"/>
    <n v="11"/>
    <n v="40"/>
    <n v="440"/>
    <n v="0.05"/>
    <n v="22"/>
    <x v="1"/>
  </r>
  <r>
    <s v="order_id = 225"/>
    <x v="21"/>
    <x v="0"/>
    <x v="3"/>
    <n v="8"/>
    <n v="80"/>
    <n v="640"/>
    <n v="0.06"/>
    <n v="38.4"/>
    <x v="2"/>
  </r>
  <r>
    <s v="order_id = 226"/>
    <x v="21"/>
    <x v="0"/>
    <x v="0"/>
    <n v="9"/>
    <n v="80"/>
    <n v="720"/>
    <n v="0.04"/>
    <n v="28.8"/>
    <x v="3"/>
  </r>
  <r>
    <s v="order_id = 227"/>
    <x v="21"/>
    <x v="1"/>
    <x v="4"/>
    <n v="4"/>
    <n v="40"/>
    <n v="160"/>
    <n v="0.09"/>
    <n v="14.399999999999999"/>
    <x v="4"/>
  </r>
  <r>
    <s v="order_id = 228"/>
    <x v="21"/>
    <x v="0"/>
    <x v="1"/>
    <n v="13"/>
    <n v="80"/>
    <n v="1040"/>
    <n v="0.06"/>
    <n v="62.4"/>
    <x v="5"/>
  </r>
  <r>
    <s v="order_id = 229"/>
    <x v="21"/>
    <x v="4"/>
    <x v="4"/>
    <n v="4"/>
    <n v="150"/>
    <n v="600"/>
    <n v="0.05"/>
    <n v="30"/>
    <x v="6"/>
  </r>
  <r>
    <s v="order_id = 230"/>
    <x v="21"/>
    <x v="2"/>
    <x v="2"/>
    <n v="14"/>
    <n v="230"/>
    <n v="3220"/>
    <n v="0.12"/>
    <n v="386.4"/>
    <x v="7"/>
  </r>
  <r>
    <s v="order_id = 231"/>
    <x v="21"/>
    <x v="4"/>
    <x v="4"/>
    <n v="13"/>
    <n v="150"/>
    <n v="1950"/>
    <n v="0.11"/>
    <n v="214.5"/>
    <x v="8"/>
  </r>
  <r>
    <s v="order_id = 232"/>
    <x v="21"/>
    <x v="4"/>
    <x v="1"/>
    <n v="16"/>
    <n v="150"/>
    <n v="2400"/>
    <n v="0.03"/>
    <n v="72"/>
    <x v="9"/>
  </r>
  <r>
    <s v="order_id = 233"/>
    <x v="21"/>
    <x v="3"/>
    <x v="0"/>
    <n v="7"/>
    <n v="16"/>
    <n v="112"/>
    <n v="0.12"/>
    <n v="13.44"/>
    <x v="10"/>
  </r>
  <r>
    <s v="order_id = 234"/>
    <x v="21"/>
    <x v="4"/>
    <x v="3"/>
    <n v="9"/>
    <n v="150"/>
    <n v="1350"/>
    <n v="0.02"/>
    <n v="27"/>
    <x v="11"/>
  </r>
  <r>
    <s v="order_id = 235"/>
    <x v="21"/>
    <x v="3"/>
    <x v="0"/>
    <n v="10"/>
    <n v="16"/>
    <n v="160"/>
    <n v="0.08"/>
    <n v="12.8"/>
    <x v="0"/>
  </r>
  <r>
    <s v="order_id = 236"/>
    <x v="21"/>
    <x v="0"/>
    <x v="3"/>
    <n v="15"/>
    <n v="80"/>
    <n v="1200"/>
    <n v="0.08"/>
    <n v="96"/>
    <x v="1"/>
  </r>
  <r>
    <s v="order_id = 237"/>
    <x v="21"/>
    <x v="0"/>
    <x v="4"/>
    <n v="9"/>
    <n v="80"/>
    <n v="720"/>
    <n v="0.06"/>
    <n v="43.199999999999996"/>
    <x v="2"/>
  </r>
  <r>
    <s v="order_id = 238"/>
    <x v="22"/>
    <x v="3"/>
    <x v="3"/>
    <n v="7"/>
    <n v="16"/>
    <n v="112"/>
    <n v="0.08"/>
    <n v="8.9600000000000009"/>
    <x v="3"/>
  </r>
  <r>
    <s v="order_id = 239"/>
    <x v="22"/>
    <x v="4"/>
    <x v="4"/>
    <n v="7"/>
    <n v="150"/>
    <n v="1050"/>
    <n v="0.03"/>
    <n v="31.5"/>
    <x v="4"/>
  </r>
  <r>
    <s v="order_id = 240"/>
    <x v="22"/>
    <x v="2"/>
    <x v="3"/>
    <n v="16"/>
    <n v="230"/>
    <n v="3680"/>
    <n v="0.11"/>
    <n v="404.8"/>
    <x v="5"/>
  </r>
  <r>
    <s v="order_id = 241"/>
    <x v="22"/>
    <x v="3"/>
    <x v="3"/>
    <n v="18"/>
    <n v="16"/>
    <n v="288"/>
    <n v="0.04"/>
    <n v="11.52"/>
    <x v="6"/>
  </r>
  <r>
    <s v="order_id = 242"/>
    <x v="22"/>
    <x v="2"/>
    <x v="4"/>
    <n v="20"/>
    <n v="230"/>
    <n v="4600"/>
    <n v="0.11"/>
    <n v="506"/>
    <x v="7"/>
  </r>
  <r>
    <s v="order_id = 243"/>
    <x v="22"/>
    <x v="4"/>
    <x v="0"/>
    <n v="7"/>
    <n v="150"/>
    <n v="1050"/>
    <n v="0.02"/>
    <n v="21"/>
    <x v="8"/>
  </r>
  <r>
    <s v="order_id = 244"/>
    <x v="22"/>
    <x v="3"/>
    <x v="2"/>
    <n v="11"/>
    <n v="16"/>
    <n v="176"/>
    <n v="0.12"/>
    <n v="21.119999999999997"/>
    <x v="9"/>
  </r>
  <r>
    <s v="order_id = 245"/>
    <x v="22"/>
    <x v="1"/>
    <x v="2"/>
    <n v="12"/>
    <n v="40"/>
    <n v="480"/>
    <n v="0.02"/>
    <n v="9.6"/>
    <x v="10"/>
  </r>
  <r>
    <s v="order_id = 246"/>
    <x v="22"/>
    <x v="4"/>
    <x v="4"/>
    <n v="7"/>
    <n v="150"/>
    <n v="1050"/>
    <n v="0.02"/>
    <n v="21"/>
    <x v="11"/>
  </r>
  <r>
    <s v="order_id = 247"/>
    <x v="22"/>
    <x v="0"/>
    <x v="2"/>
    <n v="14"/>
    <n v="80"/>
    <n v="1120"/>
    <n v="0.1"/>
    <n v="112"/>
    <x v="0"/>
  </r>
  <r>
    <s v="order_id = 248"/>
    <x v="22"/>
    <x v="2"/>
    <x v="2"/>
    <n v="12"/>
    <n v="230"/>
    <n v="2760"/>
    <n v="0.06"/>
    <n v="165.6"/>
    <x v="1"/>
  </r>
  <r>
    <s v="order_id = 249"/>
    <x v="23"/>
    <x v="0"/>
    <x v="1"/>
    <n v="21"/>
    <n v="80"/>
    <n v="1680"/>
    <n v="0.04"/>
    <n v="67.2"/>
    <x v="2"/>
  </r>
  <r>
    <s v="order_id = 250"/>
    <x v="23"/>
    <x v="4"/>
    <x v="0"/>
    <n v="8"/>
    <n v="150"/>
    <n v="1200"/>
    <n v="0.09"/>
    <n v="108"/>
    <x v="3"/>
  </r>
  <r>
    <s v="order_id = 251"/>
    <x v="23"/>
    <x v="0"/>
    <x v="1"/>
    <n v="16"/>
    <n v="80"/>
    <n v="1280"/>
    <n v="0.04"/>
    <n v="51.2"/>
    <x v="4"/>
  </r>
  <r>
    <s v="order_id = 252"/>
    <x v="23"/>
    <x v="2"/>
    <x v="1"/>
    <n v="14"/>
    <n v="230"/>
    <n v="3220"/>
    <n v="0.05"/>
    <n v="161"/>
    <x v="5"/>
  </r>
  <r>
    <s v="order_id = 253"/>
    <x v="23"/>
    <x v="1"/>
    <x v="2"/>
    <n v="2"/>
    <n v="40"/>
    <n v="80"/>
    <n v="0.03"/>
    <n v="2.4"/>
    <x v="6"/>
  </r>
  <r>
    <s v="order_id = 254"/>
    <x v="23"/>
    <x v="4"/>
    <x v="0"/>
    <n v="4"/>
    <n v="150"/>
    <n v="600"/>
    <n v="0.1"/>
    <n v="60"/>
    <x v="7"/>
  </r>
  <r>
    <s v="order_id = 255"/>
    <x v="23"/>
    <x v="0"/>
    <x v="2"/>
    <n v="6"/>
    <n v="80"/>
    <n v="480"/>
    <n v="0.01"/>
    <n v="4.8"/>
    <x v="8"/>
  </r>
  <r>
    <s v="order_id = 256"/>
    <x v="23"/>
    <x v="1"/>
    <x v="2"/>
    <n v="6"/>
    <n v="40"/>
    <n v="240"/>
    <n v="0.06"/>
    <n v="14.399999999999999"/>
    <x v="9"/>
  </r>
  <r>
    <s v="order_id = 257"/>
    <x v="23"/>
    <x v="4"/>
    <x v="0"/>
    <n v="20"/>
    <n v="150"/>
    <n v="3000"/>
    <n v="0.04"/>
    <n v="120"/>
    <x v="10"/>
  </r>
  <r>
    <s v="order_id = 258"/>
    <x v="23"/>
    <x v="1"/>
    <x v="2"/>
    <n v="18"/>
    <n v="40"/>
    <n v="720"/>
    <n v="0.03"/>
    <n v="21.599999999999998"/>
    <x v="11"/>
  </r>
  <r>
    <s v="order_id = 259"/>
    <x v="23"/>
    <x v="2"/>
    <x v="3"/>
    <n v="18"/>
    <n v="230"/>
    <n v="4140"/>
    <n v="0.01"/>
    <n v="41.4"/>
    <x v="0"/>
  </r>
  <r>
    <s v="order_id = 260"/>
    <x v="23"/>
    <x v="2"/>
    <x v="2"/>
    <n v="15"/>
    <n v="230"/>
    <n v="3450"/>
    <n v="0.04"/>
    <n v="138"/>
    <x v="1"/>
  </r>
  <r>
    <s v="order_id = 261"/>
    <x v="23"/>
    <x v="3"/>
    <x v="1"/>
    <n v="22"/>
    <n v="16"/>
    <n v="352"/>
    <n v="0.01"/>
    <n v="3.52"/>
    <x v="2"/>
  </r>
  <r>
    <s v="order_id = 262"/>
    <x v="23"/>
    <x v="4"/>
    <x v="0"/>
    <n v="17"/>
    <n v="150"/>
    <n v="2550"/>
    <n v="0.12"/>
    <n v="306"/>
    <x v="3"/>
  </r>
  <r>
    <s v="order_id = 263"/>
    <x v="24"/>
    <x v="3"/>
    <x v="1"/>
    <n v="5"/>
    <n v="16"/>
    <n v="80"/>
    <n v="0.11"/>
    <n v="8.8000000000000007"/>
    <x v="4"/>
  </r>
  <r>
    <s v="order_id = 264"/>
    <x v="24"/>
    <x v="4"/>
    <x v="0"/>
    <n v="23"/>
    <n v="150"/>
    <n v="3450"/>
    <n v="0.1"/>
    <n v="345"/>
    <x v="5"/>
  </r>
  <r>
    <s v="order_id = 265"/>
    <x v="24"/>
    <x v="4"/>
    <x v="3"/>
    <n v="22"/>
    <n v="150"/>
    <n v="3300"/>
    <n v="0.05"/>
    <n v="165"/>
    <x v="6"/>
  </r>
  <r>
    <s v="order_id = 266"/>
    <x v="24"/>
    <x v="3"/>
    <x v="4"/>
    <n v="15"/>
    <n v="16"/>
    <n v="240"/>
    <n v="0.01"/>
    <n v="2.4"/>
    <x v="7"/>
  </r>
  <r>
    <s v="order_id = 267"/>
    <x v="24"/>
    <x v="1"/>
    <x v="3"/>
    <n v="7"/>
    <n v="40"/>
    <n v="280"/>
    <n v="7.0000000000000007E-2"/>
    <n v="19.600000000000001"/>
    <x v="8"/>
  </r>
  <r>
    <s v="order_id = 268"/>
    <x v="24"/>
    <x v="0"/>
    <x v="4"/>
    <n v="22"/>
    <n v="80"/>
    <n v="1760"/>
    <n v="0.11"/>
    <n v="193.6"/>
    <x v="9"/>
  </r>
  <r>
    <s v="order_id = 269"/>
    <x v="24"/>
    <x v="4"/>
    <x v="2"/>
    <n v="11"/>
    <n v="150"/>
    <n v="1650"/>
    <n v="0.05"/>
    <n v="82.5"/>
    <x v="10"/>
  </r>
  <r>
    <s v="order_id = 270"/>
    <x v="24"/>
    <x v="1"/>
    <x v="1"/>
    <n v="21"/>
    <n v="40"/>
    <n v="840"/>
    <n v="0.03"/>
    <n v="25.2"/>
    <x v="11"/>
  </r>
  <r>
    <s v="order_id = 271"/>
    <x v="24"/>
    <x v="0"/>
    <x v="3"/>
    <n v="23"/>
    <n v="80"/>
    <n v="1840"/>
    <n v="0.11"/>
    <n v="202.4"/>
    <x v="0"/>
  </r>
  <r>
    <s v="order_id = 272"/>
    <x v="24"/>
    <x v="2"/>
    <x v="2"/>
    <n v="7"/>
    <n v="230"/>
    <n v="1610"/>
    <n v="0.01"/>
    <n v="16.100000000000001"/>
    <x v="1"/>
  </r>
  <r>
    <s v="order_id = 273"/>
    <x v="24"/>
    <x v="2"/>
    <x v="0"/>
    <n v="16"/>
    <n v="230"/>
    <n v="3680"/>
    <n v="7.0000000000000007E-2"/>
    <n v="257.60000000000002"/>
    <x v="2"/>
  </r>
  <r>
    <s v="order_id = 274"/>
    <x v="24"/>
    <x v="0"/>
    <x v="1"/>
    <n v="14"/>
    <n v="80"/>
    <n v="1120"/>
    <n v="0.11"/>
    <n v="123.2"/>
    <x v="3"/>
  </r>
  <r>
    <s v="order_id = 275"/>
    <x v="24"/>
    <x v="4"/>
    <x v="2"/>
    <n v="22"/>
    <n v="150"/>
    <n v="3300"/>
    <n v="0.09"/>
    <n v="297"/>
    <x v="4"/>
  </r>
  <r>
    <s v="order_id = 276"/>
    <x v="24"/>
    <x v="4"/>
    <x v="3"/>
    <n v="4"/>
    <n v="150"/>
    <n v="600"/>
    <n v="0.12"/>
    <n v="72"/>
    <x v="5"/>
  </r>
  <r>
    <s v="order_id = 277"/>
    <x v="24"/>
    <x v="4"/>
    <x v="0"/>
    <n v="3"/>
    <n v="150"/>
    <n v="450"/>
    <n v="0.03"/>
    <n v="13.5"/>
    <x v="6"/>
  </r>
  <r>
    <s v="order_id = 278"/>
    <x v="24"/>
    <x v="1"/>
    <x v="4"/>
    <n v="17"/>
    <n v="40"/>
    <n v="680"/>
    <n v="0.02"/>
    <n v="13.6"/>
    <x v="7"/>
  </r>
  <r>
    <s v="order_id = 279"/>
    <x v="24"/>
    <x v="0"/>
    <x v="4"/>
    <n v="22"/>
    <n v="80"/>
    <n v="1760"/>
    <n v="0.1"/>
    <n v="176"/>
    <x v="8"/>
  </r>
  <r>
    <s v="order_id = 280"/>
    <x v="24"/>
    <x v="4"/>
    <x v="4"/>
    <n v="18"/>
    <n v="150"/>
    <n v="2700"/>
    <n v="0.12"/>
    <n v="324"/>
    <x v="9"/>
  </r>
  <r>
    <s v="order_id = 281"/>
    <x v="25"/>
    <x v="4"/>
    <x v="0"/>
    <n v="4"/>
    <n v="150"/>
    <n v="600"/>
    <n v="0.06"/>
    <n v="36"/>
    <x v="0"/>
  </r>
  <r>
    <s v="order_id = 282"/>
    <x v="25"/>
    <x v="2"/>
    <x v="1"/>
    <n v="22"/>
    <n v="230"/>
    <n v="5060"/>
    <n v="0.04"/>
    <n v="202.4"/>
    <x v="1"/>
  </r>
  <r>
    <s v="order_id = 283"/>
    <x v="25"/>
    <x v="4"/>
    <x v="1"/>
    <n v="15"/>
    <n v="150"/>
    <n v="2250"/>
    <n v="0.12"/>
    <n v="270"/>
    <x v="2"/>
  </r>
  <r>
    <s v="order_id = 284"/>
    <x v="25"/>
    <x v="0"/>
    <x v="0"/>
    <n v="17"/>
    <n v="80"/>
    <n v="1360"/>
    <n v="7.0000000000000007E-2"/>
    <n v="95.2"/>
    <x v="3"/>
  </r>
  <r>
    <s v="order_id = 285"/>
    <x v="25"/>
    <x v="1"/>
    <x v="4"/>
    <n v="10"/>
    <n v="40"/>
    <n v="400"/>
    <n v="0.03"/>
    <n v="12"/>
    <x v="4"/>
  </r>
  <r>
    <s v="order_id = 286"/>
    <x v="25"/>
    <x v="1"/>
    <x v="0"/>
    <n v="23"/>
    <n v="40"/>
    <n v="920"/>
    <n v="7.0000000000000007E-2"/>
    <n v="64.400000000000006"/>
    <x v="5"/>
  </r>
  <r>
    <s v="order_id = 287"/>
    <x v="25"/>
    <x v="3"/>
    <x v="1"/>
    <n v="22"/>
    <n v="16"/>
    <n v="352"/>
    <n v="0.04"/>
    <n v="14.08"/>
    <x v="6"/>
  </r>
  <r>
    <s v="order_id = 288"/>
    <x v="25"/>
    <x v="0"/>
    <x v="2"/>
    <n v="8"/>
    <n v="80"/>
    <n v="640"/>
    <n v="0.02"/>
    <n v="12.8"/>
    <x v="7"/>
  </r>
  <r>
    <s v="order_id = 289"/>
    <x v="25"/>
    <x v="3"/>
    <x v="1"/>
    <n v="4"/>
    <n v="16"/>
    <n v="64"/>
    <n v="0.09"/>
    <n v="5.76"/>
    <x v="8"/>
  </r>
  <r>
    <s v="order_id = 290"/>
    <x v="25"/>
    <x v="1"/>
    <x v="3"/>
    <n v="11"/>
    <n v="40"/>
    <n v="440"/>
    <n v="0.09"/>
    <n v="39.6"/>
    <x v="9"/>
  </r>
  <r>
    <s v="order_id = 291"/>
    <x v="25"/>
    <x v="2"/>
    <x v="2"/>
    <n v="18"/>
    <n v="230"/>
    <n v="4140"/>
    <n v="0.01"/>
    <n v="41.4"/>
    <x v="10"/>
  </r>
  <r>
    <s v="order_id = 292"/>
    <x v="26"/>
    <x v="2"/>
    <x v="1"/>
    <n v="11"/>
    <n v="230"/>
    <n v="2530"/>
    <n v="0.1"/>
    <n v="253"/>
    <x v="11"/>
  </r>
  <r>
    <s v="order_id = 293"/>
    <x v="26"/>
    <x v="2"/>
    <x v="0"/>
    <n v="15"/>
    <n v="230"/>
    <n v="3450"/>
    <n v="0.05"/>
    <n v="172.5"/>
    <x v="0"/>
  </r>
  <r>
    <s v="order_id = 294"/>
    <x v="26"/>
    <x v="1"/>
    <x v="4"/>
    <n v="7"/>
    <n v="40"/>
    <n v="280"/>
    <n v="0.04"/>
    <n v="11.200000000000001"/>
    <x v="1"/>
  </r>
  <r>
    <s v="order_id = 295"/>
    <x v="26"/>
    <x v="4"/>
    <x v="2"/>
    <n v="20"/>
    <n v="150"/>
    <n v="3000"/>
    <n v="0.12"/>
    <n v="360"/>
    <x v="2"/>
  </r>
  <r>
    <s v="order_id = 296"/>
    <x v="26"/>
    <x v="0"/>
    <x v="2"/>
    <n v="5"/>
    <n v="80"/>
    <n v="400"/>
    <n v="0.09"/>
    <n v="36"/>
    <x v="3"/>
  </r>
  <r>
    <s v="order_id = 297"/>
    <x v="26"/>
    <x v="0"/>
    <x v="3"/>
    <n v="14"/>
    <n v="80"/>
    <n v="1120"/>
    <n v="0.05"/>
    <n v="56"/>
    <x v="4"/>
  </r>
  <r>
    <s v="order_id = 298"/>
    <x v="26"/>
    <x v="2"/>
    <x v="3"/>
    <n v="7"/>
    <n v="230"/>
    <n v="1610"/>
    <n v="0.06"/>
    <n v="96.6"/>
    <x v="5"/>
  </r>
  <r>
    <s v="order_id = 299"/>
    <x v="26"/>
    <x v="1"/>
    <x v="3"/>
    <n v="13"/>
    <n v="40"/>
    <n v="520"/>
    <n v="0.06"/>
    <n v="31.2"/>
    <x v="6"/>
  </r>
  <r>
    <s v="order_id = 300"/>
    <x v="27"/>
    <x v="3"/>
    <x v="1"/>
    <n v="15"/>
    <n v="16"/>
    <n v="240"/>
    <n v="0.02"/>
    <n v="4.8"/>
    <x v="7"/>
  </r>
  <r>
    <s v="order_id = 301"/>
    <x v="27"/>
    <x v="3"/>
    <x v="3"/>
    <n v="5"/>
    <n v="16"/>
    <n v="80"/>
    <n v="0.09"/>
    <n v="7.1999999999999993"/>
    <x v="8"/>
  </r>
  <r>
    <s v="order_id = 302"/>
    <x v="27"/>
    <x v="3"/>
    <x v="0"/>
    <n v="22"/>
    <n v="16"/>
    <n v="352"/>
    <n v="0.06"/>
    <n v="21.119999999999997"/>
    <x v="9"/>
  </r>
  <r>
    <s v="order_id = 303"/>
    <x v="27"/>
    <x v="4"/>
    <x v="2"/>
    <n v="15"/>
    <n v="150"/>
    <n v="2250"/>
    <n v="0.05"/>
    <n v="112.5"/>
    <x v="10"/>
  </r>
  <r>
    <s v="order_id = 304"/>
    <x v="27"/>
    <x v="2"/>
    <x v="2"/>
    <n v="5"/>
    <n v="230"/>
    <n v="1150"/>
    <n v="0.01"/>
    <n v="11.5"/>
    <x v="11"/>
  </r>
  <r>
    <s v="order_id = 305"/>
    <x v="27"/>
    <x v="1"/>
    <x v="0"/>
    <n v="11"/>
    <n v="40"/>
    <n v="440"/>
    <n v="0.04"/>
    <n v="17.600000000000001"/>
    <x v="0"/>
  </r>
  <r>
    <s v="order_id = 306"/>
    <x v="27"/>
    <x v="4"/>
    <x v="1"/>
    <n v="13"/>
    <n v="150"/>
    <n v="1950"/>
    <n v="0.08"/>
    <n v="156"/>
    <x v="1"/>
  </r>
  <r>
    <s v="order_id = 307"/>
    <x v="27"/>
    <x v="3"/>
    <x v="4"/>
    <n v="13"/>
    <n v="16"/>
    <n v="208"/>
    <n v="7.0000000000000007E-2"/>
    <n v="14.560000000000002"/>
    <x v="2"/>
  </r>
  <r>
    <s v="order_id = 308"/>
    <x v="27"/>
    <x v="3"/>
    <x v="4"/>
    <n v="3"/>
    <n v="16"/>
    <n v="48"/>
    <n v="0.03"/>
    <n v="1.44"/>
    <x v="3"/>
  </r>
  <r>
    <s v="order_id = 309"/>
    <x v="28"/>
    <x v="4"/>
    <x v="1"/>
    <n v="2"/>
    <n v="150"/>
    <n v="300"/>
    <n v="0.09"/>
    <n v="27"/>
    <x v="4"/>
  </r>
  <r>
    <s v="order_id = 310"/>
    <x v="28"/>
    <x v="2"/>
    <x v="2"/>
    <n v="14"/>
    <n v="230"/>
    <n v="3220"/>
    <n v="0.03"/>
    <n v="96.6"/>
    <x v="5"/>
  </r>
  <r>
    <s v="order_id = 311"/>
    <x v="28"/>
    <x v="1"/>
    <x v="2"/>
    <n v="11"/>
    <n v="40"/>
    <n v="440"/>
    <n v="0.12"/>
    <n v="52.8"/>
    <x v="6"/>
  </r>
  <r>
    <s v="order_id = 312"/>
    <x v="28"/>
    <x v="3"/>
    <x v="4"/>
    <n v="3"/>
    <n v="16"/>
    <n v="48"/>
    <n v="0.06"/>
    <n v="2.88"/>
    <x v="7"/>
  </r>
  <r>
    <s v="order_id = 313"/>
    <x v="28"/>
    <x v="1"/>
    <x v="4"/>
    <n v="18"/>
    <n v="40"/>
    <n v="720"/>
    <n v="0.06"/>
    <n v="43.199999999999996"/>
    <x v="8"/>
  </r>
  <r>
    <s v="order_id = 314"/>
    <x v="28"/>
    <x v="2"/>
    <x v="4"/>
    <n v="7"/>
    <n v="230"/>
    <n v="1610"/>
    <n v="0.05"/>
    <n v="80.5"/>
    <x v="9"/>
  </r>
  <r>
    <s v="order_id = 315"/>
    <x v="28"/>
    <x v="1"/>
    <x v="4"/>
    <n v="23"/>
    <n v="40"/>
    <n v="920"/>
    <n v="0.05"/>
    <n v="46"/>
    <x v="10"/>
  </r>
  <r>
    <s v="order_id = 316"/>
    <x v="29"/>
    <x v="2"/>
    <x v="4"/>
    <n v="2"/>
    <n v="230"/>
    <n v="460"/>
    <n v="0.08"/>
    <n v="36.800000000000004"/>
    <x v="11"/>
  </r>
  <r>
    <s v="order_id = 317"/>
    <x v="29"/>
    <x v="1"/>
    <x v="3"/>
    <n v="18"/>
    <n v="40"/>
    <n v="720"/>
    <n v="0.04"/>
    <n v="28.8"/>
    <x v="0"/>
  </r>
  <r>
    <s v="order_id = 318"/>
    <x v="29"/>
    <x v="2"/>
    <x v="1"/>
    <n v="7"/>
    <n v="230"/>
    <n v="1610"/>
    <n v="0.05"/>
    <n v="80.5"/>
    <x v="1"/>
  </r>
  <r>
    <s v="order_id = 319"/>
    <x v="29"/>
    <x v="1"/>
    <x v="4"/>
    <n v="14"/>
    <n v="40"/>
    <n v="560"/>
    <n v="0.11"/>
    <n v="61.6"/>
    <x v="2"/>
  </r>
  <r>
    <s v="order_id = 320"/>
    <x v="29"/>
    <x v="4"/>
    <x v="1"/>
    <n v="13"/>
    <n v="150"/>
    <n v="1950"/>
    <n v="0.02"/>
    <n v="39"/>
    <x v="3"/>
  </r>
  <r>
    <s v="order_id = 321"/>
    <x v="29"/>
    <x v="0"/>
    <x v="0"/>
    <n v="12"/>
    <n v="80"/>
    <n v="960"/>
    <n v="0.04"/>
    <n v="38.4"/>
    <x v="4"/>
  </r>
  <r>
    <s v="order_id = 322"/>
    <x v="29"/>
    <x v="2"/>
    <x v="4"/>
    <n v="20"/>
    <n v="230"/>
    <n v="4600"/>
    <n v="0.09"/>
    <n v="414"/>
    <x v="5"/>
  </r>
  <r>
    <s v="order_id = 323"/>
    <x v="29"/>
    <x v="1"/>
    <x v="4"/>
    <n v="5"/>
    <n v="40"/>
    <n v="200"/>
    <n v="0.03"/>
    <n v="6"/>
    <x v="6"/>
  </r>
  <r>
    <s v="order_id = 324"/>
    <x v="29"/>
    <x v="3"/>
    <x v="4"/>
    <n v="2"/>
    <n v="16"/>
    <n v="32"/>
    <n v="0.04"/>
    <n v="1.28"/>
    <x v="7"/>
  </r>
  <r>
    <s v="order_id = 325"/>
    <x v="0"/>
    <x v="0"/>
    <x v="2"/>
    <n v="10"/>
    <n v="80"/>
    <n v="800"/>
    <n v="0.08"/>
    <n v="64"/>
    <x v="8"/>
  </r>
  <r>
    <s v="order_id = 326"/>
    <x v="0"/>
    <x v="1"/>
    <x v="3"/>
    <n v="18"/>
    <n v="40"/>
    <n v="720"/>
    <n v="0.06"/>
    <n v="43.199999999999996"/>
    <x v="9"/>
  </r>
  <r>
    <s v="order_id = 327"/>
    <x v="0"/>
    <x v="2"/>
    <x v="1"/>
    <n v="7"/>
    <n v="230"/>
    <n v="1610"/>
    <n v="0.08"/>
    <n v="128.80000000000001"/>
    <x v="10"/>
  </r>
  <r>
    <s v="order_id = 328"/>
    <x v="0"/>
    <x v="1"/>
    <x v="3"/>
    <n v="15"/>
    <n v="40"/>
    <n v="600"/>
    <n v="0.03"/>
    <n v="18"/>
    <x v="11"/>
  </r>
  <r>
    <s v="order_id = 329"/>
    <x v="0"/>
    <x v="3"/>
    <x v="2"/>
    <n v="6"/>
    <n v="16"/>
    <n v="96"/>
    <n v="0.01"/>
    <n v="0.96"/>
    <x v="0"/>
  </r>
  <r>
    <s v="order_id = 330"/>
    <x v="0"/>
    <x v="4"/>
    <x v="3"/>
    <n v="9"/>
    <n v="150"/>
    <n v="1350"/>
    <n v="0.02"/>
    <n v="27"/>
    <x v="1"/>
  </r>
  <r>
    <s v="order_id = 331"/>
    <x v="0"/>
    <x v="3"/>
    <x v="4"/>
    <n v="15"/>
    <n v="16"/>
    <n v="240"/>
    <n v="0.01"/>
    <n v="2.4"/>
    <x v="2"/>
  </r>
  <r>
    <s v="order_id = 332"/>
    <x v="0"/>
    <x v="0"/>
    <x v="4"/>
    <n v="22"/>
    <n v="80"/>
    <n v="1760"/>
    <n v="0.11"/>
    <n v="193.6"/>
    <x v="3"/>
  </r>
  <r>
    <s v="order_id = 333"/>
    <x v="0"/>
    <x v="4"/>
    <x v="1"/>
    <n v="13"/>
    <n v="150"/>
    <n v="1950"/>
    <n v="0.02"/>
    <n v="39"/>
    <x v="4"/>
  </r>
  <r>
    <s v="order_id = 334"/>
    <x v="1"/>
    <x v="3"/>
    <x v="2"/>
    <n v="12"/>
    <n v="16"/>
    <n v="192"/>
    <n v="0.03"/>
    <n v="5.76"/>
    <x v="5"/>
  </r>
  <r>
    <s v="order_id = 335"/>
    <x v="1"/>
    <x v="1"/>
    <x v="3"/>
    <n v="4"/>
    <n v="40"/>
    <n v="160"/>
    <n v="0.05"/>
    <n v="8"/>
    <x v="6"/>
  </r>
  <r>
    <s v="order_id = 336"/>
    <x v="1"/>
    <x v="2"/>
    <x v="1"/>
    <n v="19"/>
    <n v="230"/>
    <n v="4370"/>
    <n v="0.11"/>
    <n v="480.7"/>
    <x v="7"/>
  </r>
  <r>
    <s v="order_id = 337"/>
    <x v="1"/>
    <x v="1"/>
    <x v="1"/>
    <n v="4"/>
    <n v="40"/>
    <n v="160"/>
    <n v="0.06"/>
    <n v="9.6"/>
    <x v="8"/>
  </r>
  <r>
    <s v="order_id = 338"/>
    <x v="1"/>
    <x v="3"/>
    <x v="2"/>
    <n v="6"/>
    <n v="16"/>
    <n v="96"/>
    <n v="7.0000000000000007E-2"/>
    <n v="6.7200000000000006"/>
    <x v="9"/>
  </r>
  <r>
    <s v="order_id = 339"/>
    <x v="1"/>
    <x v="2"/>
    <x v="2"/>
    <n v="15"/>
    <n v="230"/>
    <n v="3450"/>
    <n v="0.11"/>
    <n v="379.5"/>
    <x v="10"/>
  </r>
  <r>
    <s v="order_id = 340"/>
    <x v="1"/>
    <x v="0"/>
    <x v="2"/>
    <n v="16"/>
    <n v="80"/>
    <n v="1280"/>
    <n v="0.04"/>
    <n v="51.2"/>
    <x v="11"/>
  </r>
  <r>
    <s v="order_id = 341"/>
    <x v="1"/>
    <x v="1"/>
    <x v="0"/>
    <n v="7"/>
    <n v="40"/>
    <n v="280"/>
    <n v="0.1"/>
    <n v="28"/>
    <x v="0"/>
  </r>
  <r>
    <s v="order_id = 342"/>
    <x v="1"/>
    <x v="1"/>
    <x v="2"/>
    <n v="11"/>
    <n v="40"/>
    <n v="440"/>
    <n v="0.05"/>
    <n v="22"/>
    <x v="1"/>
  </r>
  <r>
    <s v="order_id = 343"/>
    <x v="1"/>
    <x v="0"/>
    <x v="4"/>
    <n v="9"/>
    <n v="80"/>
    <n v="720"/>
    <n v="0.06"/>
    <n v="43.199999999999996"/>
    <x v="2"/>
  </r>
  <r>
    <s v="order_id = 344"/>
    <x v="1"/>
    <x v="0"/>
    <x v="1"/>
    <n v="21"/>
    <n v="80"/>
    <n v="1680"/>
    <n v="0.04"/>
    <n v="67.2"/>
    <x v="3"/>
  </r>
  <r>
    <s v="order_id = 345"/>
    <x v="1"/>
    <x v="1"/>
    <x v="2"/>
    <n v="2"/>
    <n v="40"/>
    <n v="80"/>
    <n v="0.03"/>
    <n v="2.4"/>
    <x v="4"/>
  </r>
  <r>
    <s v="order_id = 346"/>
    <x v="2"/>
    <x v="3"/>
    <x v="2"/>
    <n v="17"/>
    <n v="16"/>
    <n v="272"/>
    <n v="0.05"/>
    <n v="13.600000000000001"/>
    <x v="5"/>
  </r>
  <r>
    <s v="order_id = 347"/>
    <x v="2"/>
    <x v="1"/>
    <x v="0"/>
    <n v="18"/>
    <n v="40"/>
    <n v="720"/>
    <n v="0.06"/>
    <n v="43.199999999999996"/>
    <x v="6"/>
  </r>
  <r>
    <s v="order_id = 348"/>
    <x v="2"/>
    <x v="1"/>
    <x v="0"/>
    <n v="9"/>
    <n v="40"/>
    <n v="360"/>
    <n v="0.01"/>
    <n v="3.6"/>
    <x v="7"/>
  </r>
  <r>
    <s v="order_id = 349"/>
    <x v="2"/>
    <x v="1"/>
    <x v="1"/>
    <n v="7"/>
    <n v="40"/>
    <n v="280"/>
    <n v="0.01"/>
    <n v="2.8000000000000003"/>
    <x v="8"/>
  </r>
  <r>
    <s v="order_id = 350"/>
    <x v="2"/>
    <x v="2"/>
    <x v="2"/>
    <n v="12"/>
    <n v="230"/>
    <n v="2760"/>
    <n v="0.06"/>
    <n v="165.6"/>
    <x v="9"/>
  </r>
  <r>
    <s v="order_id = 351"/>
    <x v="2"/>
    <x v="3"/>
    <x v="1"/>
    <n v="22"/>
    <n v="16"/>
    <n v="352"/>
    <n v="0.04"/>
    <n v="14.08"/>
    <x v="0"/>
  </r>
  <r>
    <s v="order_id = 352"/>
    <x v="3"/>
    <x v="4"/>
    <x v="0"/>
    <n v="5"/>
    <n v="150"/>
    <n v="750"/>
    <n v="0.11"/>
    <n v="82.5"/>
    <x v="1"/>
  </r>
  <r>
    <s v="order_id = 353"/>
    <x v="3"/>
    <x v="0"/>
    <x v="1"/>
    <n v="14"/>
    <n v="80"/>
    <n v="1120"/>
    <n v="0.11"/>
    <n v="123.2"/>
    <x v="2"/>
  </r>
  <r>
    <s v="order_id = 354"/>
    <x v="3"/>
    <x v="3"/>
    <x v="2"/>
    <n v="8"/>
    <n v="16"/>
    <n v="128"/>
    <n v="0.03"/>
    <n v="3.84"/>
    <x v="3"/>
  </r>
  <r>
    <s v="order_id = 355"/>
    <x v="3"/>
    <x v="2"/>
    <x v="2"/>
    <n v="6"/>
    <n v="230"/>
    <n v="1380"/>
    <n v="0.05"/>
    <n v="69"/>
    <x v="4"/>
  </r>
  <r>
    <s v="order_id = 356"/>
    <x v="3"/>
    <x v="3"/>
    <x v="3"/>
    <n v="7"/>
    <n v="16"/>
    <n v="112"/>
    <n v="0.08"/>
    <n v="8.9600000000000009"/>
    <x v="5"/>
  </r>
  <r>
    <s v="order_id = 357"/>
    <x v="3"/>
    <x v="0"/>
    <x v="1"/>
    <n v="16"/>
    <n v="80"/>
    <n v="1280"/>
    <n v="0.04"/>
    <n v="51.2"/>
    <x v="6"/>
  </r>
  <r>
    <s v="order_id = 358"/>
    <x v="3"/>
    <x v="4"/>
    <x v="0"/>
    <n v="17"/>
    <n v="150"/>
    <n v="2550"/>
    <n v="0.12"/>
    <n v="306"/>
    <x v="7"/>
  </r>
  <r>
    <s v="order_id = 359"/>
    <x v="3"/>
    <x v="3"/>
    <x v="1"/>
    <n v="7"/>
    <n v="16"/>
    <n v="112"/>
    <n v="0.08"/>
    <n v="8.9600000000000009"/>
    <x v="8"/>
  </r>
  <r>
    <s v="order_id = 360"/>
    <x v="4"/>
    <x v="3"/>
    <x v="0"/>
    <n v="21"/>
    <n v="16"/>
    <n v="336"/>
    <n v="0.09"/>
    <n v="30.24"/>
    <x v="9"/>
  </r>
  <r>
    <s v="order_id = 361"/>
    <x v="4"/>
    <x v="3"/>
    <x v="2"/>
    <n v="23"/>
    <n v="16"/>
    <n v="368"/>
    <n v="0.11"/>
    <n v="40.479999999999997"/>
    <x v="10"/>
  </r>
  <r>
    <s v="order_id = 362"/>
    <x v="4"/>
    <x v="4"/>
    <x v="2"/>
    <n v="2"/>
    <n v="150"/>
    <n v="300"/>
    <n v="0.02"/>
    <n v="6"/>
    <x v="11"/>
  </r>
  <r>
    <s v="order_id = 363"/>
    <x v="4"/>
    <x v="4"/>
    <x v="0"/>
    <n v="22"/>
    <n v="150"/>
    <n v="3300"/>
    <n v="7.0000000000000007E-2"/>
    <n v="231.00000000000003"/>
    <x v="0"/>
  </r>
  <r>
    <s v="order_id = 364"/>
    <x v="4"/>
    <x v="1"/>
    <x v="3"/>
    <n v="22"/>
    <n v="40"/>
    <n v="880"/>
    <n v="0.01"/>
    <n v="8.8000000000000007"/>
    <x v="1"/>
  </r>
  <r>
    <s v="order_id = 365"/>
    <x v="4"/>
    <x v="0"/>
    <x v="1"/>
    <n v="10"/>
    <n v="80"/>
    <n v="800"/>
    <n v="0.11"/>
    <n v="88"/>
    <x v="2"/>
  </r>
  <r>
    <s v="order_id = 366"/>
    <x v="4"/>
    <x v="0"/>
    <x v="4"/>
    <n v="13"/>
    <n v="80"/>
    <n v="1040"/>
    <n v="0.05"/>
    <n v="52"/>
    <x v="3"/>
  </r>
  <r>
    <s v="order_id = 367"/>
    <x v="4"/>
    <x v="2"/>
    <x v="3"/>
    <n v="11"/>
    <n v="230"/>
    <n v="2530"/>
    <n v="0.12"/>
    <n v="303.59999999999997"/>
    <x v="4"/>
  </r>
  <r>
    <s v="order_id = 368"/>
    <x v="4"/>
    <x v="2"/>
    <x v="0"/>
    <n v="9"/>
    <n v="230"/>
    <n v="2070"/>
    <n v="7.0000000000000007E-2"/>
    <n v="144.9"/>
    <x v="5"/>
  </r>
  <r>
    <s v="order_id = 369"/>
    <x v="4"/>
    <x v="2"/>
    <x v="3"/>
    <n v="16"/>
    <n v="230"/>
    <n v="3680"/>
    <n v="0.11"/>
    <n v="404.8"/>
    <x v="6"/>
  </r>
  <r>
    <s v="order_id = 370"/>
    <x v="4"/>
    <x v="2"/>
    <x v="3"/>
    <n v="18"/>
    <n v="230"/>
    <n v="4140"/>
    <n v="0.01"/>
    <n v="41.4"/>
    <x v="7"/>
  </r>
  <r>
    <s v="order_id = 371"/>
    <x v="4"/>
    <x v="3"/>
    <x v="1"/>
    <n v="15"/>
    <n v="16"/>
    <n v="240"/>
    <n v="0.02"/>
    <n v="4.8"/>
    <x v="8"/>
  </r>
  <r>
    <s v="order_id = 372"/>
    <x v="4"/>
    <x v="1"/>
    <x v="4"/>
    <n v="18"/>
    <n v="40"/>
    <n v="720"/>
    <n v="0.06"/>
    <n v="43.199999999999996"/>
    <x v="9"/>
  </r>
  <r>
    <s v="order_id = 373"/>
    <x v="4"/>
    <x v="1"/>
    <x v="3"/>
    <n v="18"/>
    <n v="40"/>
    <n v="720"/>
    <n v="0.04"/>
    <n v="28.8"/>
    <x v="10"/>
  </r>
  <r>
    <s v="order_id = 374"/>
    <x v="4"/>
    <x v="3"/>
    <x v="3"/>
    <n v="22"/>
    <n v="16"/>
    <n v="352"/>
    <n v="0.03"/>
    <n v="10.559999999999999"/>
    <x v="11"/>
  </r>
  <r>
    <s v="order_id = 375"/>
    <x v="4"/>
    <x v="3"/>
    <x v="2"/>
    <n v="12"/>
    <n v="16"/>
    <n v="192"/>
    <n v="0.11"/>
    <n v="21.12"/>
    <x v="0"/>
  </r>
  <r>
    <s v="order_id = 376"/>
    <x v="5"/>
    <x v="0"/>
    <x v="0"/>
    <n v="20"/>
    <n v="80"/>
    <n v="1600"/>
    <n v="0.01"/>
    <n v="16"/>
    <x v="1"/>
  </r>
  <r>
    <s v="order_id = 377"/>
    <x v="5"/>
    <x v="2"/>
    <x v="2"/>
    <n v="10"/>
    <n v="230"/>
    <n v="2300"/>
    <n v="0.02"/>
    <n v="46"/>
    <x v="2"/>
  </r>
  <r>
    <s v="order_id = 378"/>
    <x v="5"/>
    <x v="2"/>
    <x v="1"/>
    <n v="9"/>
    <n v="230"/>
    <n v="2070"/>
    <n v="0.03"/>
    <n v="62.099999999999994"/>
    <x v="3"/>
  </r>
  <r>
    <s v="order_id = 379"/>
    <x v="5"/>
    <x v="0"/>
    <x v="1"/>
    <n v="17"/>
    <n v="80"/>
    <n v="1360"/>
    <n v="0.03"/>
    <n v="40.799999999999997"/>
    <x v="4"/>
  </r>
  <r>
    <s v="order_id = 380"/>
    <x v="5"/>
    <x v="1"/>
    <x v="4"/>
    <n v="4"/>
    <n v="40"/>
    <n v="160"/>
    <n v="0.09"/>
    <n v="14.399999999999999"/>
    <x v="5"/>
  </r>
  <r>
    <s v="order_id = 381"/>
    <x v="5"/>
    <x v="4"/>
    <x v="1"/>
    <n v="16"/>
    <n v="150"/>
    <n v="2400"/>
    <n v="0.03"/>
    <n v="72"/>
    <x v="6"/>
  </r>
  <r>
    <s v="order_id = 382"/>
    <x v="5"/>
    <x v="0"/>
    <x v="2"/>
    <n v="8"/>
    <n v="80"/>
    <n v="640"/>
    <n v="0.02"/>
    <n v="12.8"/>
    <x v="7"/>
  </r>
  <r>
    <s v="order_id = 383"/>
    <x v="5"/>
    <x v="1"/>
    <x v="3"/>
    <n v="23"/>
    <n v="40"/>
    <n v="920"/>
    <n v="0.06"/>
    <n v="55.199999999999996"/>
    <x v="8"/>
  </r>
  <r>
    <s v="order_id = 384"/>
    <x v="6"/>
    <x v="4"/>
    <x v="3"/>
    <n v="20"/>
    <n v="150"/>
    <n v="3000"/>
    <n v="0.1"/>
    <n v="300"/>
    <x v="9"/>
  </r>
  <r>
    <s v="order_id = 385"/>
    <x v="6"/>
    <x v="2"/>
    <x v="4"/>
    <n v="22"/>
    <n v="230"/>
    <n v="5060"/>
    <n v="0.1"/>
    <n v="506"/>
    <x v="10"/>
  </r>
  <r>
    <s v="order_id = 386"/>
    <x v="6"/>
    <x v="2"/>
    <x v="1"/>
    <n v="6"/>
    <n v="230"/>
    <n v="1380"/>
    <n v="0.1"/>
    <n v="138"/>
    <x v="11"/>
  </r>
  <r>
    <s v="order_id = 387"/>
    <x v="6"/>
    <x v="0"/>
    <x v="3"/>
    <n v="10"/>
    <n v="80"/>
    <n v="800"/>
    <n v="0.1"/>
    <n v="80"/>
    <x v="0"/>
  </r>
  <r>
    <s v="order_id = 388"/>
    <x v="6"/>
    <x v="2"/>
    <x v="4"/>
    <n v="21"/>
    <n v="230"/>
    <n v="4830"/>
    <n v="0.05"/>
    <n v="241.5"/>
    <x v="1"/>
  </r>
  <r>
    <s v="order_id = 389"/>
    <x v="6"/>
    <x v="2"/>
    <x v="0"/>
    <n v="20"/>
    <n v="230"/>
    <n v="4600"/>
    <n v="0.04"/>
    <n v="184"/>
    <x v="2"/>
  </r>
  <r>
    <s v="order_id = 390"/>
    <x v="6"/>
    <x v="0"/>
    <x v="2"/>
    <n v="20"/>
    <n v="80"/>
    <n v="1600"/>
    <n v="7.0000000000000007E-2"/>
    <n v="112.00000000000001"/>
    <x v="3"/>
  </r>
  <r>
    <s v="order_id = 391"/>
    <x v="6"/>
    <x v="0"/>
    <x v="2"/>
    <n v="7"/>
    <n v="80"/>
    <n v="560"/>
    <n v="0.05"/>
    <n v="28"/>
    <x v="4"/>
  </r>
  <r>
    <s v="order_id = 392"/>
    <x v="6"/>
    <x v="0"/>
    <x v="0"/>
    <n v="8"/>
    <n v="80"/>
    <n v="640"/>
    <n v="0.09"/>
    <n v="57.599999999999994"/>
    <x v="5"/>
  </r>
  <r>
    <s v="order_id = 393"/>
    <x v="6"/>
    <x v="0"/>
    <x v="1"/>
    <n v="3"/>
    <n v="80"/>
    <n v="240"/>
    <n v="0.02"/>
    <n v="4.8"/>
    <x v="6"/>
  </r>
  <r>
    <s v="order_id = 394"/>
    <x v="6"/>
    <x v="0"/>
    <x v="3"/>
    <n v="8"/>
    <n v="80"/>
    <n v="640"/>
    <n v="0.06"/>
    <n v="38.4"/>
    <x v="7"/>
  </r>
  <r>
    <s v="order_id = 395"/>
    <x v="6"/>
    <x v="4"/>
    <x v="4"/>
    <n v="13"/>
    <n v="150"/>
    <n v="1950"/>
    <n v="0.11"/>
    <n v="214.5"/>
    <x v="8"/>
  </r>
  <r>
    <s v="order_id = 396"/>
    <x v="6"/>
    <x v="0"/>
    <x v="3"/>
    <n v="15"/>
    <n v="80"/>
    <n v="1200"/>
    <n v="0.08"/>
    <n v="96"/>
    <x v="9"/>
  </r>
  <r>
    <s v="order_id = 397"/>
    <x v="6"/>
    <x v="4"/>
    <x v="4"/>
    <n v="7"/>
    <n v="150"/>
    <n v="1050"/>
    <n v="0.02"/>
    <n v="21"/>
    <x v="10"/>
  </r>
  <r>
    <s v="order_id = 398"/>
    <x v="6"/>
    <x v="1"/>
    <x v="2"/>
    <n v="6"/>
    <n v="40"/>
    <n v="240"/>
    <n v="0.06"/>
    <n v="14.399999999999999"/>
    <x v="11"/>
  </r>
  <r>
    <s v="order_id = 399"/>
    <x v="6"/>
    <x v="0"/>
    <x v="3"/>
    <n v="23"/>
    <n v="80"/>
    <n v="1840"/>
    <n v="0.11"/>
    <n v="202.4"/>
    <x v="0"/>
  </r>
  <r>
    <s v="order_id = 400"/>
    <x v="6"/>
    <x v="2"/>
    <x v="2"/>
    <n v="18"/>
    <n v="230"/>
    <n v="4140"/>
    <n v="0.01"/>
    <n v="41.4"/>
    <x v="1"/>
  </r>
  <r>
    <s v="order_id = 401"/>
    <x v="7"/>
    <x v="0"/>
    <x v="4"/>
    <n v="21"/>
    <n v="80"/>
    <n v="1680"/>
    <n v="0.09"/>
    <n v="151.19999999999999"/>
    <x v="2"/>
  </r>
  <r>
    <s v="order_id = 402"/>
    <x v="7"/>
    <x v="1"/>
    <x v="2"/>
    <n v="13"/>
    <n v="40"/>
    <n v="520"/>
    <n v="0.02"/>
    <n v="10.4"/>
    <x v="3"/>
  </r>
  <r>
    <s v="order_id = 403"/>
    <x v="7"/>
    <x v="0"/>
    <x v="2"/>
    <n v="23"/>
    <n v="80"/>
    <n v="1840"/>
    <n v="0.05"/>
    <n v="92"/>
    <x v="4"/>
  </r>
  <r>
    <s v="order_id = 404"/>
    <x v="7"/>
    <x v="4"/>
    <x v="3"/>
    <n v="15"/>
    <n v="150"/>
    <n v="2250"/>
    <n v="0.05"/>
    <n v="112.5"/>
    <x v="5"/>
  </r>
  <r>
    <s v="order_id = 405"/>
    <x v="7"/>
    <x v="1"/>
    <x v="0"/>
    <n v="5"/>
    <n v="40"/>
    <n v="200"/>
    <n v="0.09"/>
    <n v="18"/>
    <x v="6"/>
  </r>
  <r>
    <s v="order_id = 406"/>
    <x v="7"/>
    <x v="3"/>
    <x v="3"/>
    <n v="10"/>
    <n v="16"/>
    <n v="160"/>
    <n v="0.01"/>
    <n v="1.6"/>
    <x v="7"/>
  </r>
  <r>
    <s v="order_id = 407"/>
    <x v="7"/>
    <x v="2"/>
    <x v="2"/>
    <n v="2"/>
    <n v="230"/>
    <n v="460"/>
    <n v="0.09"/>
    <n v="41.4"/>
    <x v="8"/>
  </r>
  <r>
    <s v="order_id = 408"/>
    <x v="7"/>
    <x v="0"/>
    <x v="3"/>
    <n v="7"/>
    <n v="80"/>
    <n v="560"/>
    <n v="0.02"/>
    <n v="11.200000000000001"/>
    <x v="9"/>
  </r>
  <r>
    <s v="order_id = 409"/>
    <x v="7"/>
    <x v="4"/>
    <x v="3"/>
    <n v="22"/>
    <n v="150"/>
    <n v="3300"/>
    <n v="0.05"/>
    <n v="165"/>
    <x v="10"/>
  </r>
  <r>
    <s v="order_id = 410"/>
    <x v="7"/>
    <x v="1"/>
    <x v="4"/>
    <n v="17"/>
    <n v="40"/>
    <n v="680"/>
    <n v="0.02"/>
    <n v="13.6"/>
    <x v="11"/>
  </r>
  <r>
    <s v="order_id = 411"/>
    <x v="7"/>
    <x v="3"/>
    <x v="0"/>
    <n v="22"/>
    <n v="16"/>
    <n v="352"/>
    <n v="0.06"/>
    <n v="21.119999999999997"/>
    <x v="0"/>
  </r>
  <r>
    <s v="order_id = 412"/>
    <x v="7"/>
    <x v="3"/>
    <x v="4"/>
    <n v="3"/>
    <n v="16"/>
    <n v="48"/>
    <n v="0.03"/>
    <n v="1.44"/>
    <x v="1"/>
  </r>
  <r>
    <s v="order_id = 413"/>
    <x v="7"/>
    <x v="2"/>
    <x v="4"/>
    <n v="2"/>
    <n v="230"/>
    <n v="460"/>
    <n v="0.08"/>
    <n v="36.800000000000004"/>
    <x v="2"/>
  </r>
  <r>
    <s v="order_id = 414"/>
    <x v="7"/>
    <x v="3"/>
    <x v="0"/>
    <n v="21"/>
    <n v="16"/>
    <n v="336"/>
    <n v="0.09"/>
    <n v="30.24"/>
    <x v="3"/>
  </r>
  <r>
    <s v="order_id = 415"/>
    <x v="7"/>
    <x v="0"/>
    <x v="3"/>
    <n v="7"/>
    <n v="80"/>
    <n v="560"/>
    <n v="7.0000000000000007E-2"/>
    <n v="39.200000000000003"/>
    <x v="4"/>
  </r>
  <r>
    <s v="order_id = 416"/>
    <x v="7"/>
    <x v="4"/>
    <x v="1"/>
    <n v="23"/>
    <n v="150"/>
    <n v="3450"/>
    <n v="0.11"/>
    <n v="379.5"/>
    <x v="5"/>
  </r>
  <r>
    <s v="order_id = 417"/>
    <x v="8"/>
    <x v="4"/>
    <x v="0"/>
    <n v="11"/>
    <n v="150"/>
    <n v="1650"/>
    <n v="0.05"/>
    <n v="82.5"/>
    <x v="6"/>
  </r>
  <r>
    <s v="order_id = 418"/>
    <x v="8"/>
    <x v="0"/>
    <x v="4"/>
    <n v="16"/>
    <n v="80"/>
    <n v="1280"/>
    <n v="0.05"/>
    <n v="64"/>
    <x v="7"/>
  </r>
  <r>
    <s v="order_id = 419"/>
    <x v="8"/>
    <x v="2"/>
    <x v="2"/>
    <n v="5"/>
    <n v="230"/>
    <n v="1150"/>
    <n v="0.1"/>
    <n v="115"/>
    <x v="8"/>
  </r>
  <r>
    <s v="order_id = 420"/>
    <x v="8"/>
    <x v="3"/>
    <x v="0"/>
    <n v="22"/>
    <n v="16"/>
    <n v="352"/>
    <n v="0.01"/>
    <n v="3.52"/>
    <x v="9"/>
  </r>
  <r>
    <s v="order_id = 421"/>
    <x v="8"/>
    <x v="1"/>
    <x v="4"/>
    <n v="7"/>
    <n v="40"/>
    <n v="280"/>
    <n v="0.12"/>
    <n v="33.6"/>
    <x v="0"/>
  </r>
  <r>
    <s v="order_id = 422"/>
    <x v="8"/>
    <x v="0"/>
    <x v="1"/>
    <n v="2"/>
    <n v="80"/>
    <n v="160"/>
    <n v="0.04"/>
    <n v="6.4"/>
    <x v="1"/>
  </r>
  <r>
    <s v="order_id = 423"/>
    <x v="8"/>
    <x v="1"/>
    <x v="3"/>
    <n v="6"/>
    <n v="40"/>
    <n v="240"/>
    <n v="7.0000000000000007E-2"/>
    <n v="16.8"/>
    <x v="2"/>
  </r>
  <r>
    <s v="order_id = 424"/>
    <x v="8"/>
    <x v="0"/>
    <x v="2"/>
    <n v="6"/>
    <n v="80"/>
    <n v="480"/>
    <n v="0.01"/>
    <n v="4.8"/>
    <x v="3"/>
  </r>
  <r>
    <s v="order_id = 425"/>
    <x v="8"/>
    <x v="3"/>
    <x v="1"/>
    <n v="22"/>
    <n v="16"/>
    <n v="352"/>
    <n v="0.01"/>
    <n v="3.52"/>
    <x v="4"/>
  </r>
  <r>
    <s v="order_id = 426"/>
    <x v="8"/>
    <x v="2"/>
    <x v="3"/>
    <n v="7"/>
    <n v="230"/>
    <n v="1610"/>
    <n v="0.06"/>
    <n v="96.6"/>
    <x v="5"/>
  </r>
  <r>
    <s v="order_id = 427"/>
    <x v="9"/>
    <x v="3"/>
    <x v="3"/>
    <n v="22"/>
    <n v="16"/>
    <n v="352"/>
    <n v="0.03"/>
    <n v="10.559999999999999"/>
    <x v="6"/>
  </r>
  <r>
    <s v="order_id = 428"/>
    <x v="9"/>
    <x v="1"/>
    <x v="4"/>
    <n v="20"/>
    <n v="40"/>
    <n v="800"/>
    <n v="0.05"/>
    <n v="40"/>
    <x v="7"/>
  </r>
  <r>
    <s v="order_id = 429"/>
    <x v="9"/>
    <x v="1"/>
    <x v="1"/>
    <n v="19"/>
    <n v="40"/>
    <n v="760"/>
    <n v="0.1"/>
    <n v="76"/>
    <x v="8"/>
  </r>
  <r>
    <s v="order_id = 430"/>
    <x v="9"/>
    <x v="3"/>
    <x v="0"/>
    <n v="18"/>
    <n v="16"/>
    <n v="288"/>
    <n v="0.05"/>
    <n v="14.4"/>
    <x v="9"/>
  </r>
  <r>
    <s v="order_id = 431"/>
    <x v="9"/>
    <x v="1"/>
    <x v="2"/>
    <n v="2"/>
    <n v="40"/>
    <n v="80"/>
    <n v="0.02"/>
    <n v="1.6"/>
    <x v="10"/>
  </r>
  <r>
    <s v="order_id = 432"/>
    <x v="9"/>
    <x v="1"/>
    <x v="3"/>
    <n v="7"/>
    <n v="40"/>
    <n v="280"/>
    <n v="7.0000000000000007E-2"/>
    <n v="19.600000000000001"/>
    <x v="11"/>
  </r>
  <r>
    <s v="order_id = 433"/>
    <x v="9"/>
    <x v="4"/>
    <x v="2"/>
    <n v="11"/>
    <n v="150"/>
    <n v="1650"/>
    <n v="0.05"/>
    <n v="82.5"/>
    <x v="0"/>
  </r>
  <r>
    <s v="order_id = 434"/>
    <x v="9"/>
    <x v="0"/>
    <x v="1"/>
    <n v="14"/>
    <n v="80"/>
    <n v="1120"/>
    <n v="0.11"/>
    <n v="123.2"/>
    <x v="1"/>
  </r>
  <r>
    <s v="order_id = 435"/>
    <x v="9"/>
    <x v="1"/>
    <x v="4"/>
    <n v="7"/>
    <n v="40"/>
    <n v="280"/>
    <n v="0.04"/>
    <n v="11.200000000000001"/>
    <x v="2"/>
  </r>
  <r>
    <s v="order_id = 436"/>
    <x v="9"/>
    <x v="0"/>
    <x v="3"/>
    <n v="14"/>
    <n v="80"/>
    <n v="1120"/>
    <n v="0.05"/>
    <n v="56"/>
    <x v="3"/>
  </r>
  <r>
    <s v="order_id = 437"/>
    <x v="10"/>
    <x v="3"/>
    <x v="2"/>
    <n v="12"/>
    <n v="16"/>
    <n v="192"/>
    <n v="0.11"/>
    <n v="21.12"/>
    <x v="4"/>
  </r>
  <r>
    <s v="order_id = 438"/>
    <x v="10"/>
    <x v="1"/>
    <x v="4"/>
    <n v="11"/>
    <n v="40"/>
    <n v="440"/>
    <n v="0.05"/>
    <n v="22"/>
    <x v="5"/>
  </r>
  <r>
    <s v="order_id = 439"/>
    <x v="10"/>
    <x v="3"/>
    <x v="2"/>
    <n v="14"/>
    <n v="16"/>
    <n v="224"/>
    <n v="0.01"/>
    <n v="2.2400000000000002"/>
    <x v="6"/>
  </r>
  <r>
    <s v="order_id = 440"/>
    <x v="10"/>
    <x v="2"/>
    <x v="3"/>
    <n v="2"/>
    <n v="230"/>
    <n v="460"/>
    <n v="0.08"/>
    <n v="36.800000000000004"/>
    <x v="7"/>
  </r>
  <r>
    <s v="order_id = 441"/>
    <x v="10"/>
    <x v="3"/>
    <x v="0"/>
    <n v="20"/>
    <n v="16"/>
    <n v="320"/>
    <n v="0.11"/>
    <n v="35.200000000000003"/>
    <x v="8"/>
  </r>
  <r>
    <s v="order_id = 442"/>
    <x v="10"/>
    <x v="3"/>
    <x v="2"/>
    <n v="6"/>
    <n v="16"/>
    <n v="96"/>
    <n v="0.06"/>
    <n v="5.76"/>
    <x v="9"/>
  </r>
  <r>
    <s v="order_id = 443"/>
    <x v="10"/>
    <x v="0"/>
    <x v="3"/>
    <n v="17"/>
    <n v="80"/>
    <n v="1360"/>
    <n v="0.05"/>
    <n v="68"/>
    <x v="10"/>
  </r>
  <r>
    <s v="order_id = 444"/>
    <x v="10"/>
    <x v="1"/>
    <x v="0"/>
    <n v="2"/>
    <n v="40"/>
    <n v="80"/>
    <n v="0.12"/>
    <n v="9.6"/>
    <x v="11"/>
  </r>
  <r>
    <s v="order_id = 445"/>
    <x v="10"/>
    <x v="3"/>
    <x v="0"/>
    <n v="7"/>
    <n v="16"/>
    <n v="112"/>
    <n v="0.12"/>
    <n v="13.44"/>
    <x v="0"/>
  </r>
  <r>
    <s v="order_id = 446"/>
    <x v="10"/>
    <x v="4"/>
    <x v="0"/>
    <n v="7"/>
    <n v="150"/>
    <n v="1050"/>
    <n v="0.02"/>
    <n v="21"/>
    <x v="1"/>
  </r>
  <r>
    <s v="order_id = 447"/>
    <x v="10"/>
    <x v="0"/>
    <x v="0"/>
    <n v="20"/>
    <n v="80"/>
    <n v="1600"/>
    <n v="0.01"/>
    <n v="16"/>
    <x v="2"/>
  </r>
  <r>
    <s v="order_id = 448"/>
    <x v="10"/>
    <x v="0"/>
    <x v="3"/>
    <n v="11"/>
    <n v="80"/>
    <n v="880"/>
    <n v="0.01"/>
    <n v="8.8000000000000007"/>
    <x v="3"/>
  </r>
  <r>
    <s v="order_id = 449"/>
    <x v="10"/>
    <x v="0"/>
    <x v="2"/>
    <n v="10"/>
    <n v="80"/>
    <n v="800"/>
    <n v="0.08"/>
    <n v="64"/>
    <x v="4"/>
  </r>
  <r>
    <s v="order_id = 450"/>
    <x v="11"/>
    <x v="0"/>
    <x v="1"/>
    <n v="5"/>
    <n v="80"/>
    <n v="400"/>
    <n v="0.04"/>
    <n v="16"/>
    <x v="5"/>
  </r>
  <r>
    <s v="order_id = 451"/>
    <x v="11"/>
    <x v="0"/>
    <x v="3"/>
    <n v="4"/>
    <n v="80"/>
    <n v="320"/>
    <n v="0.11"/>
    <n v="35.200000000000003"/>
    <x v="6"/>
  </r>
  <r>
    <s v="order_id = 452"/>
    <x v="11"/>
    <x v="3"/>
    <x v="2"/>
    <n v="3"/>
    <n v="16"/>
    <n v="48"/>
    <n v="0.05"/>
    <n v="2.4000000000000004"/>
    <x v="7"/>
  </r>
  <r>
    <s v="order_id = 453"/>
    <x v="11"/>
    <x v="0"/>
    <x v="0"/>
    <n v="9"/>
    <n v="80"/>
    <n v="720"/>
    <n v="0.04"/>
    <n v="28.8"/>
    <x v="8"/>
  </r>
  <r>
    <s v="order_id = 454"/>
    <x v="11"/>
    <x v="0"/>
    <x v="4"/>
    <n v="16"/>
    <n v="80"/>
    <n v="1280"/>
    <n v="0.09"/>
    <n v="115.19999999999999"/>
    <x v="9"/>
  </r>
  <r>
    <s v="order_id = 455"/>
    <x v="12"/>
    <x v="3"/>
    <x v="1"/>
    <n v="7"/>
    <n v="16"/>
    <n v="112"/>
    <n v="0.08"/>
    <n v="8.9600000000000009"/>
    <x v="10"/>
  </r>
  <r>
    <s v="order_id = 456"/>
    <x v="12"/>
    <x v="4"/>
    <x v="1"/>
    <n v="16"/>
    <n v="150"/>
    <n v="2400"/>
    <n v="0.05"/>
    <n v="120"/>
    <x v="11"/>
  </r>
  <r>
    <s v="order_id = 457"/>
    <x v="12"/>
    <x v="3"/>
    <x v="3"/>
    <n v="10"/>
    <n v="16"/>
    <n v="160"/>
    <n v="0.04"/>
    <n v="6.4"/>
    <x v="0"/>
  </r>
  <r>
    <s v="order_id = 458"/>
    <x v="12"/>
    <x v="1"/>
    <x v="1"/>
    <n v="4"/>
    <n v="40"/>
    <n v="160"/>
    <n v="0.03"/>
    <n v="4.8"/>
    <x v="1"/>
  </r>
  <r>
    <s v="order_id = 459"/>
    <x v="12"/>
    <x v="1"/>
    <x v="1"/>
    <n v="15"/>
    <n v="40"/>
    <n v="600"/>
    <n v="0.02"/>
    <n v="12"/>
    <x v="2"/>
  </r>
  <r>
    <s v="order_id = 460"/>
    <x v="12"/>
    <x v="0"/>
    <x v="2"/>
    <n v="6"/>
    <n v="80"/>
    <n v="480"/>
    <n v="0.09"/>
    <n v="43.199999999999996"/>
    <x v="3"/>
  </r>
  <r>
    <s v="order_id = 461"/>
    <x v="12"/>
    <x v="4"/>
    <x v="0"/>
    <n v="20"/>
    <n v="150"/>
    <n v="3000"/>
    <n v="0.01"/>
    <n v="30"/>
    <x v="4"/>
  </r>
  <r>
    <s v="order_id = 462"/>
    <x v="12"/>
    <x v="3"/>
    <x v="0"/>
    <n v="7"/>
    <n v="16"/>
    <n v="112"/>
    <n v="0.08"/>
    <n v="8.9600000000000009"/>
    <x v="5"/>
  </r>
  <r>
    <s v="order_id = 463"/>
    <x v="12"/>
    <x v="0"/>
    <x v="1"/>
    <n v="2"/>
    <n v="80"/>
    <n v="160"/>
    <n v="7.0000000000000007E-2"/>
    <n v="11.200000000000001"/>
    <x v="6"/>
  </r>
  <r>
    <s v="order_id = 464"/>
    <x v="12"/>
    <x v="1"/>
    <x v="1"/>
    <n v="23"/>
    <n v="40"/>
    <n v="920"/>
    <n v="0.06"/>
    <n v="55.199999999999996"/>
    <x v="7"/>
  </r>
  <r>
    <s v="order_id = 465"/>
    <x v="12"/>
    <x v="3"/>
    <x v="0"/>
    <n v="12"/>
    <n v="16"/>
    <n v="192"/>
    <n v="0.11"/>
    <n v="21.12"/>
    <x v="8"/>
  </r>
  <r>
    <s v="order_id = 466"/>
    <x v="12"/>
    <x v="2"/>
    <x v="3"/>
    <n v="2"/>
    <n v="230"/>
    <n v="460"/>
    <n v="0.09"/>
    <n v="41.4"/>
    <x v="9"/>
  </r>
  <r>
    <s v="order_id = 467"/>
    <x v="12"/>
    <x v="4"/>
    <x v="0"/>
    <n v="4"/>
    <n v="150"/>
    <n v="600"/>
    <n v="0.06"/>
    <n v="36"/>
    <x v="10"/>
  </r>
  <r>
    <s v="order_id = 468"/>
    <x v="12"/>
    <x v="1"/>
    <x v="0"/>
    <n v="23"/>
    <n v="40"/>
    <n v="920"/>
    <n v="7.0000000000000007E-2"/>
    <n v="64.400000000000006"/>
    <x v="11"/>
  </r>
  <r>
    <s v="order_id = 469"/>
    <x v="12"/>
    <x v="3"/>
    <x v="4"/>
    <n v="2"/>
    <n v="16"/>
    <n v="32"/>
    <n v="0.04"/>
    <n v="1.28"/>
    <x v="0"/>
  </r>
  <r>
    <s v="order_id = 470"/>
    <x v="12"/>
    <x v="4"/>
    <x v="3"/>
    <n v="7"/>
    <n v="150"/>
    <n v="1050"/>
    <n v="0.05"/>
    <n v="52.5"/>
    <x v="1"/>
  </r>
  <r>
    <s v="order_id = 471"/>
    <x v="13"/>
    <x v="1"/>
    <x v="0"/>
    <n v="15"/>
    <n v="40"/>
    <n v="600"/>
    <n v="0.06"/>
    <n v="36"/>
    <x v="2"/>
  </r>
  <r>
    <s v="order_id = 472"/>
    <x v="13"/>
    <x v="0"/>
    <x v="3"/>
    <n v="16"/>
    <n v="80"/>
    <n v="1280"/>
    <n v="0.05"/>
    <n v="64"/>
    <x v="3"/>
  </r>
  <r>
    <s v="order_id = 473"/>
    <x v="13"/>
    <x v="1"/>
    <x v="4"/>
    <n v="16"/>
    <n v="40"/>
    <n v="640"/>
    <n v="0.11"/>
    <n v="70.400000000000006"/>
    <x v="4"/>
  </r>
  <r>
    <s v="order_id = 474"/>
    <x v="13"/>
    <x v="3"/>
    <x v="4"/>
    <n v="23"/>
    <n v="16"/>
    <n v="368"/>
    <n v="0.01"/>
    <n v="3.68"/>
    <x v="5"/>
  </r>
  <r>
    <s v="order_id = 475"/>
    <x v="13"/>
    <x v="2"/>
    <x v="1"/>
    <n v="12"/>
    <n v="230"/>
    <n v="2760"/>
    <n v="0.03"/>
    <n v="82.8"/>
    <x v="6"/>
  </r>
  <r>
    <s v="order_id = 476"/>
    <x v="13"/>
    <x v="3"/>
    <x v="0"/>
    <n v="4"/>
    <n v="16"/>
    <n v="64"/>
    <n v="0.12"/>
    <n v="7.68"/>
    <x v="7"/>
  </r>
  <r>
    <s v="order_id = 477"/>
    <x v="13"/>
    <x v="4"/>
    <x v="3"/>
    <n v="3"/>
    <n v="150"/>
    <n v="450"/>
    <n v="0.01"/>
    <n v="4.5"/>
    <x v="8"/>
  </r>
  <r>
    <s v="order_id = 478"/>
    <x v="13"/>
    <x v="4"/>
    <x v="1"/>
    <n v="10"/>
    <n v="150"/>
    <n v="1500"/>
    <n v="0.01"/>
    <n v="15"/>
    <x v="9"/>
  </r>
  <r>
    <s v="order_id = 479"/>
    <x v="13"/>
    <x v="0"/>
    <x v="1"/>
    <n v="13"/>
    <n v="80"/>
    <n v="1040"/>
    <n v="0.06"/>
    <n v="62.4"/>
    <x v="10"/>
  </r>
  <r>
    <s v="order_id = 480"/>
    <x v="13"/>
    <x v="2"/>
    <x v="2"/>
    <n v="15"/>
    <n v="230"/>
    <n v="3450"/>
    <n v="0.04"/>
    <n v="138"/>
    <x v="11"/>
  </r>
  <r>
    <s v="order_id = 481"/>
    <x v="13"/>
    <x v="4"/>
    <x v="0"/>
    <n v="23"/>
    <n v="150"/>
    <n v="3450"/>
    <n v="0.1"/>
    <n v="345"/>
    <x v="0"/>
  </r>
  <r>
    <s v="order_id = 482"/>
    <x v="13"/>
    <x v="4"/>
    <x v="1"/>
    <n v="15"/>
    <n v="150"/>
    <n v="2250"/>
    <n v="0.12"/>
    <n v="270"/>
    <x v="1"/>
  </r>
  <r>
    <s v="order_id = 483"/>
    <x v="13"/>
    <x v="4"/>
    <x v="2"/>
    <n v="20"/>
    <n v="150"/>
    <n v="3000"/>
    <n v="0.12"/>
    <n v="360"/>
    <x v="2"/>
  </r>
  <r>
    <s v="order_id = 484"/>
    <x v="13"/>
    <x v="1"/>
    <x v="3"/>
    <n v="13"/>
    <n v="40"/>
    <n v="520"/>
    <n v="0.09"/>
    <n v="46.8"/>
    <x v="3"/>
  </r>
  <r>
    <s v="order_id = 485"/>
    <x v="14"/>
    <x v="3"/>
    <x v="2"/>
    <n v="11"/>
    <n v="16"/>
    <n v="176"/>
    <n v="0.04"/>
    <n v="7.04"/>
    <x v="4"/>
  </r>
  <r>
    <s v="order_id = 486"/>
    <x v="14"/>
    <x v="4"/>
    <x v="2"/>
    <n v="20"/>
    <n v="150"/>
    <n v="3000"/>
    <n v="0.04"/>
    <n v="120"/>
    <x v="5"/>
  </r>
  <r>
    <s v="order_id = 487"/>
    <x v="14"/>
    <x v="1"/>
    <x v="0"/>
    <n v="18"/>
    <n v="40"/>
    <n v="720"/>
    <n v="0.11"/>
    <n v="79.2"/>
    <x v="6"/>
  </r>
  <r>
    <s v="order_id = 488"/>
    <x v="14"/>
    <x v="1"/>
    <x v="2"/>
    <n v="2"/>
    <n v="40"/>
    <n v="80"/>
    <n v="0.03"/>
    <n v="2.4"/>
    <x v="7"/>
  </r>
  <r>
    <s v="order_id = 489"/>
    <x v="14"/>
    <x v="3"/>
    <x v="3"/>
    <n v="15"/>
    <n v="16"/>
    <n v="240"/>
    <n v="0.12"/>
    <n v="28.799999999999997"/>
    <x v="8"/>
  </r>
  <r>
    <s v="order_id = 490"/>
    <x v="14"/>
    <x v="3"/>
    <x v="2"/>
    <n v="9"/>
    <n v="16"/>
    <n v="144"/>
    <n v="0.05"/>
    <n v="7.2"/>
    <x v="9"/>
  </r>
  <r>
    <s v="order_id = 491"/>
    <x v="14"/>
    <x v="1"/>
    <x v="4"/>
    <n v="7"/>
    <n v="40"/>
    <n v="280"/>
    <n v="0.05"/>
    <n v="14"/>
    <x v="0"/>
  </r>
  <r>
    <s v="order_id = 492"/>
    <x v="14"/>
    <x v="4"/>
    <x v="4"/>
    <n v="4"/>
    <n v="150"/>
    <n v="600"/>
    <n v="0.05"/>
    <n v="30"/>
    <x v="1"/>
  </r>
  <r>
    <s v="order_id = 493"/>
    <x v="14"/>
    <x v="2"/>
    <x v="0"/>
    <n v="15"/>
    <n v="230"/>
    <n v="3450"/>
    <n v="0.05"/>
    <n v="172.5"/>
    <x v="2"/>
  </r>
  <r>
    <s v="order_id = 494"/>
    <x v="15"/>
    <x v="1"/>
    <x v="1"/>
    <n v="12"/>
    <n v="40"/>
    <n v="480"/>
    <n v="0.1"/>
    <n v="48"/>
    <x v="3"/>
  </r>
  <r>
    <s v="order_id = 495"/>
    <x v="15"/>
    <x v="2"/>
    <x v="3"/>
    <n v="23"/>
    <n v="230"/>
    <n v="5290"/>
    <n v="0.06"/>
    <n v="317.39999999999998"/>
    <x v="4"/>
  </r>
  <r>
    <s v="order_id = 496"/>
    <x v="15"/>
    <x v="3"/>
    <x v="0"/>
    <n v="11"/>
    <n v="16"/>
    <n v="176"/>
    <n v="0.09"/>
    <n v="15.84"/>
    <x v="5"/>
  </r>
  <r>
    <s v="order_id = 497"/>
    <x v="15"/>
    <x v="4"/>
    <x v="0"/>
    <n v="9"/>
    <n v="150"/>
    <n v="1350"/>
    <n v="0.1"/>
    <n v="135"/>
    <x v="6"/>
  </r>
  <r>
    <s v="order_id = 498"/>
    <x v="15"/>
    <x v="0"/>
    <x v="0"/>
    <n v="18"/>
    <n v="80"/>
    <n v="1440"/>
    <n v="0.02"/>
    <n v="28.8"/>
    <x v="7"/>
  </r>
  <r>
    <s v="order_id = 499"/>
    <x v="15"/>
    <x v="1"/>
    <x v="4"/>
    <n v="23"/>
    <n v="40"/>
    <n v="920"/>
    <n v="0.04"/>
    <n v="36.800000000000004"/>
    <x v="8"/>
  </r>
  <r>
    <s v="order_id = 500"/>
    <x v="15"/>
    <x v="3"/>
    <x v="4"/>
    <n v="17"/>
    <n v="16"/>
    <n v="272"/>
    <n v="0.1"/>
    <n v="27.200000000000003"/>
    <x v="9"/>
  </r>
  <r>
    <s v="order_id = 501"/>
    <x v="15"/>
    <x v="4"/>
    <x v="4"/>
    <n v="17"/>
    <n v="150"/>
    <n v="2550"/>
    <n v="0.02"/>
    <n v="51"/>
    <x v="10"/>
  </r>
  <r>
    <s v="order_id = 502"/>
    <x v="15"/>
    <x v="0"/>
    <x v="3"/>
    <n v="21"/>
    <n v="80"/>
    <n v="1680"/>
    <n v="0.02"/>
    <n v="33.6"/>
    <x v="11"/>
  </r>
  <r>
    <s v="order_id = 503"/>
    <x v="15"/>
    <x v="1"/>
    <x v="3"/>
    <n v="11"/>
    <n v="40"/>
    <n v="440"/>
    <n v="0.06"/>
    <n v="26.4"/>
    <x v="0"/>
  </r>
  <r>
    <s v="order_id = 504"/>
    <x v="15"/>
    <x v="1"/>
    <x v="0"/>
    <n v="19"/>
    <n v="40"/>
    <n v="760"/>
    <n v="0.04"/>
    <n v="30.400000000000002"/>
    <x v="1"/>
  </r>
  <r>
    <s v="order_id = 505"/>
    <x v="15"/>
    <x v="1"/>
    <x v="0"/>
    <n v="23"/>
    <n v="40"/>
    <n v="920"/>
    <n v="0.03"/>
    <n v="27.599999999999998"/>
    <x v="2"/>
  </r>
  <r>
    <s v="order_id = 506"/>
    <x v="15"/>
    <x v="2"/>
    <x v="1"/>
    <n v="14"/>
    <n v="230"/>
    <n v="3220"/>
    <n v="0.05"/>
    <n v="161"/>
    <x v="3"/>
  </r>
  <r>
    <s v="order_id = 507"/>
    <x v="15"/>
    <x v="1"/>
    <x v="2"/>
    <n v="18"/>
    <n v="40"/>
    <n v="720"/>
    <n v="0.03"/>
    <n v="21.599999999999998"/>
    <x v="4"/>
  </r>
  <r>
    <s v="order_id = 508"/>
    <x v="15"/>
    <x v="4"/>
    <x v="1"/>
    <n v="2"/>
    <n v="150"/>
    <n v="300"/>
    <n v="0.09"/>
    <n v="27"/>
    <x v="5"/>
  </r>
  <r>
    <s v="order_id = 509"/>
    <x v="15"/>
    <x v="2"/>
    <x v="1"/>
    <n v="7"/>
    <n v="230"/>
    <n v="1610"/>
    <n v="0.05"/>
    <n v="80.5"/>
    <x v="6"/>
  </r>
  <r>
    <s v="order_id = 510"/>
    <x v="16"/>
    <x v="4"/>
    <x v="2"/>
    <n v="9"/>
    <n v="150"/>
    <n v="1350"/>
    <n v="0.02"/>
    <n v="27"/>
    <x v="7"/>
  </r>
  <r>
    <s v="order_id = 511"/>
    <x v="16"/>
    <x v="1"/>
    <x v="4"/>
    <n v="3"/>
    <n v="40"/>
    <n v="120"/>
    <n v="0.03"/>
    <n v="3.5999999999999996"/>
    <x v="8"/>
  </r>
  <r>
    <s v="order_id = 512"/>
    <x v="16"/>
    <x v="0"/>
    <x v="3"/>
    <n v="2"/>
    <n v="80"/>
    <n v="160"/>
    <n v="0.08"/>
    <n v="12.8"/>
    <x v="9"/>
  </r>
  <r>
    <s v="order_id = 513"/>
    <x v="16"/>
    <x v="3"/>
    <x v="4"/>
    <n v="19"/>
    <n v="16"/>
    <n v="304"/>
    <n v="0.02"/>
    <n v="6.08"/>
    <x v="10"/>
  </r>
  <r>
    <s v="order_id = 514"/>
    <x v="16"/>
    <x v="3"/>
    <x v="1"/>
    <n v="21"/>
    <n v="16"/>
    <n v="336"/>
    <n v="0.02"/>
    <n v="6.72"/>
    <x v="11"/>
  </r>
  <r>
    <s v="order_id = 515"/>
    <x v="16"/>
    <x v="0"/>
    <x v="3"/>
    <n v="21"/>
    <n v="80"/>
    <n v="1680"/>
    <n v="0.05"/>
    <n v="84"/>
    <x v="0"/>
  </r>
  <r>
    <s v="order_id = 516"/>
    <x v="16"/>
    <x v="2"/>
    <x v="4"/>
    <n v="3"/>
    <n v="230"/>
    <n v="690"/>
    <n v="0.1"/>
    <n v="69"/>
    <x v="1"/>
  </r>
  <r>
    <s v="order_id = 517"/>
    <x v="16"/>
    <x v="1"/>
    <x v="2"/>
    <n v="4"/>
    <n v="40"/>
    <n v="160"/>
    <n v="0.11"/>
    <n v="17.600000000000001"/>
    <x v="2"/>
  </r>
  <r>
    <s v="order_id = 518"/>
    <x v="16"/>
    <x v="4"/>
    <x v="4"/>
    <n v="7"/>
    <n v="150"/>
    <n v="1050"/>
    <n v="0.03"/>
    <n v="31.5"/>
    <x v="3"/>
  </r>
  <r>
    <s v="order_id = 519"/>
    <x v="16"/>
    <x v="3"/>
    <x v="2"/>
    <n v="11"/>
    <n v="16"/>
    <n v="176"/>
    <n v="0.12"/>
    <n v="21.119999999999997"/>
    <x v="4"/>
  </r>
  <r>
    <s v="order_id = 520"/>
    <x v="16"/>
    <x v="0"/>
    <x v="0"/>
    <n v="17"/>
    <n v="80"/>
    <n v="1360"/>
    <n v="7.0000000000000007E-2"/>
    <n v="95.2"/>
    <x v="5"/>
  </r>
  <r>
    <s v="order_id = 521"/>
    <x v="16"/>
    <x v="3"/>
    <x v="3"/>
    <n v="5"/>
    <n v="16"/>
    <n v="80"/>
    <n v="0.09"/>
    <n v="7.1999999999999993"/>
    <x v="6"/>
  </r>
  <r>
    <s v="order_id = 522"/>
    <x v="16"/>
    <x v="3"/>
    <x v="4"/>
    <n v="13"/>
    <n v="16"/>
    <n v="208"/>
    <n v="7.0000000000000007E-2"/>
    <n v="14.560000000000002"/>
    <x v="7"/>
  </r>
  <r>
    <s v="order_id = 523"/>
    <x v="16"/>
    <x v="0"/>
    <x v="4"/>
    <n v="9"/>
    <n v="80"/>
    <n v="720"/>
    <n v="0.02"/>
    <n v="14.4"/>
    <x v="8"/>
  </r>
  <r>
    <s v="order_id = 524"/>
    <x v="17"/>
    <x v="0"/>
    <x v="4"/>
    <n v="9"/>
    <n v="80"/>
    <n v="720"/>
    <n v="0.02"/>
    <n v="14.4"/>
    <x v="9"/>
  </r>
  <r>
    <s v="order_id = 525"/>
    <x v="17"/>
    <x v="0"/>
    <x v="3"/>
    <n v="22"/>
    <n v="80"/>
    <n v="1760"/>
    <n v="0.03"/>
    <n v="52.8"/>
    <x v="10"/>
  </r>
  <r>
    <s v="order_id = 526"/>
    <x v="17"/>
    <x v="4"/>
    <x v="0"/>
    <n v="13"/>
    <n v="150"/>
    <n v="1950"/>
    <n v="0.05"/>
    <n v="97.5"/>
    <x v="11"/>
  </r>
  <r>
    <s v="order_id = 527"/>
    <x v="17"/>
    <x v="0"/>
    <x v="0"/>
    <n v="14"/>
    <n v="80"/>
    <n v="1120"/>
    <n v="0.08"/>
    <n v="89.600000000000009"/>
    <x v="0"/>
  </r>
  <r>
    <s v="order_id = 528"/>
    <x v="17"/>
    <x v="0"/>
    <x v="0"/>
    <n v="6"/>
    <n v="80"/>
    <n v="480"/>
    <n v="7.0000000000000007E-2"/>
    <n v="33.6"/>
    <x v="1"/>
  </r>
  <r>
    <s v="order_id = 529"/>
    <x v="17"/>
    <x v="0"/>
    <x v="0"/>
    <n v="16"/>
    <n v="80"/>
    <n v="1280"/>
    <n v="0.03"/>
    <n v="38.4"/>
    <x v="2"/>
  </r>
  <r>
    <s v="order_id = 530"/>
    <x v="17"/>
    <x v="4"/>
    <x v="2"/>
    <n v="22"/>
    <n v="150"/>
    <n v="3300"/>
    <n v="0.09"/>
    <n v="297"/>
    <x v="3"/>
  </r>
  <r>
    <s v="order_id = 531"/>
    <x v="17"/>
    <x v="4"/>
    <x v="3"/>
    <n v="4"/>
    <n v="150"/>
    <n v="600"/>
    <n v="0.12"/>
    <n v="72"/>
    <x v="4"/>
  </r>
  <r>
    <s v="order_id = 532"/>
    <x v="17"/>
    <x v="2"/>
    <x v="4"/>
    <n v="7"/>
    <n v="230"/>
    <n v="1610"/>
    <n v="0.05"/>
    <n v="80.5"/>
    <x v="5"/>
  </r>
  <r>
    <s v="order_id = 533"/>
    <x v="17"/>
    <x v="4"/>
    <x v="3"/>
    <n v="20"/>
    <n v="150"/>
    <n v="3000"/>
    <n v="0.1"/>
    <n v="300"/>
    <x v="6"/>
  </r>
  <r>
    <s v="order_id = 534"/>
    <x v="17"/>
    <x v="2"/>
    <x v="3"/>
    <n v="8"/>
    <n v="230"/>
    <n v="1840"/>
    <n v="0.05"/>
    <n v="92"/>
    <x v="7"/>
  </r>
  <r>
    <s v="order_id = 535"/>
    <x v="18"/>
    <x v="1"/>
    <x v="3"/>
    <n v="9"/>
    <n v="40"/>
    <n v="360"/>
    <n v="0.06"/>
    <n v="21.599999999999998"/>
    <x v="8"/>
  </r>
  <r>
    <s v="order_id = 536"/>
    <x v="18"/>
    <x v="2"/>
    <x v="3"/>
    <n v="19"/>
    <n v="230"/>
    <n v="4370"/>
    <n v="0.06"/>
    <n v="262.2"/>
    <x v="9"/>
  </r>
  <r>
    <s v="order_id = 537"/>
    <x v="18"/>
    <x v="1"/>
    <x v="3"/>
    <n v="22"/>
    <n v="40"/>
    <n v="880"/>
    <n v="0.01"/>
    <n v="8.8000000000000007"/>
    <x v="10"/>
  </r>
  <r>
    <s v="order_id = 538"/>
    <x v="18"/>
    <x v="1"/>
    <x v="0"/>
    <n v="22"/>
    <n v="40"/>
    <n v="880"/>
    <n v="0.02"/>
    <n v="17.600000000000001"/>
    <x v="11"/>
  </r>
  <r>
    <s v="order_id = 539"/>
    <x v="18"/>
    <x v="0"/>
    <x v="4"/>
    <n v="10"/>
    <n v="80"/>
    <n v="800"/>
    <n v="0.06"/>
    <n v="48"/>
    <x v="0"/>
  </r>
  <r>
    <s v="order_id = 540"/>
    <x v="18"/>
    <x v="1"/>
    <x v="3"/>
    <n v="7"/>
    <n v="40"/>
    <n v="280"/>
    <n v="0.11"/>
    <n v="30.8"/>
    <x v="1"/>
  </r>
  <r>
    <s v="order_id = 541"/>
    <x v="18"/>
    <x v="2"/>
    <x v="0"/>
    <n v="7"/>
    <n v="230"/>
    <n v="1610"/>
    <n v="0.08"/>
    <n v="128.80000000000001"/>
    <x v="2"/>
  </r>
  <r>
    <s v="order_id = 542"/>
    <x v="18"/>
    <x v="3"/>
    <x v="0"/>
    <n v="18"/>
    <n v="16"/>
    <n v="288"/>
    <n v="0.11"/>
    <n v="31.68"/>
    <x v="3"/>
  </r>
  <r>
    <s v="order_id = 543"/>
    <x v="18"/>
    <x v="2"/>
    <x v="2"/>
    <n v="14"/>
    <n v="230"/>
    <n v="3220"/>
    <n v="0.12"/>
    <n v="386.4"/>
    <x v="4"/>
  </r>
  <r>
    <s v="order_id = 544"/>
    <x v="18"/>
    <x v="1"/>
    <x v="1"/>
    <n v="21"/>
    <n v="40"/>
    <n v="840"/>
    <n v="0.03"/>
    <n v="25.2"/>
    <x v="5"/>
  </r>
  <r>
    <s v="order_id = 545"/>
    <x v="18"/>
    <x v="4"/>
    <x v="0"/>
    <n v="3"/>
    <n v="150"/>
    <n v="450"/>
    <n v="0.03"/>
    <n v="13.5"/>
    <x v="6"/>
  </r>
  <r>
    <s v="order_id = 546"/>
    <x v="18"/>
    <x v="0"/>
    <x v="0"/>
    <n v="12"/>
    <n v="80"/>
    <n v="960"/>
    <n v="0.04"/>
    <n v="38.4"/>
    <x v="7"/>
  </r>
  <r>
    <s v="order_id = 547"/>
    <x v="19"/>
    <x v="4"/>
    <x v="3"/>
    <n v="6"/>
    <n v="150"/>
    <n v="900"/>
    <n v="0.03"/>
    <n v="27"/>
    <x v="8"/>
  </r>
  <r>
    <s v="order_id = 548"/>
    <x v="19"/>
    <x v="1"/>
    <x v="2"/>
    <n v="20"/>
    <n v="40"/>
    <n v="800"/>
    <n v="0.01"/>
    <n v="8"/>
    <x v="9"/>
  </r>
  <r>
    <s v="order_id = 549"/>
    <x v="19"/>
    <x v="2"/>
    <x v="0"/>
    <n v="3"/>
    <n v="230"/>
    <n v="690"/>
    <n v="0.06"/>
    <n v="41.4"/>
    <x v="6"/>
  </r>
  <r>
    <s v="order_id = 550"/>
    <x v="19"/>
    <x v="2"/>
    <x v="3"/>
    <n v="3"/>
    <n v="230"/>
    <n v="690"/>
    <n v="0.01"/>
    <n v="6.9"/>
    <x v="7"/>
  </r>
  <r>
    <s v="order_id = 551"/>
    <x v="19"/>
    <x v="1"/>
    <x v="0"/>
    <n v="20"/>
    <n v="40"/>
    <n v="800"/>
    <n v="0.04"/>
    <n v="32"/>
    <x v="8"/>
  </r>
  <r>
    <s v="order_id = 552"/>
    <x v="19"/>
    <x v="0"/>
    <x v="2"/>
    <n v="16"/>
    <n v="80"/>
    <n v="1280"/>
    <n v="0.02"/>
    <n v="25.6"/>
    <x v="9"/>
  </r>
  <r>
    <s v="order_id = 553"/>
    <x v="19"/>
    <x v="4"/>
    <x v="0"/>
    <n v="8"/>
    <n v="150"/>
    <n v="1200"/>
    <n v="0.09"/>
    <n v="108"/>
    <x v="6"/>
  </r>
  <r>
    <s v="order_id = 554"/>
    <x v="20"/>
    <x v="2"/>
    <x v="1"/>
    <n v="7"/>
    <n v="230"/>
    <n v="1610"/>
    <n v="0.01"/>
    <n v="16.100000000000001"/>
    <x v="7"/>
  </r>
  <r>
    <s v="order_id = 555"/>
    <x v="20"/>
    <x v="4"/>
    <x v="1"/>
    <n v="23"/>
    <n v="150"/>
    <n v="3450"/>
    <n v="0.11"/>
    <n v="379.5"/>
    <x v="8"/>
  </r>
  <r>
    <s v="order_id = 556"/>
    <x v="20"/>
    <x v="1"/>
    <x v="4"/>
    <n v="16"/>
    <n v="40"/>
    <n v="640"/>
    <n v="0.09"/>
    <n v="57.599999999999994"/>
    <x v="9"/>
  </r>
  <r>
    <s v="order_id = 557"/>
    <x v="20"/>
    <x v="1"/>
    <x v="4"/>
    <n v="20"/>
    <n v="40"/>
    <n v="800"/>
    <n v="0.1"/>
    <n v="80"/>
    <x v="6"/>
  </r>
  <r>
    <s v="order_id = 558"/>
    <x v="20"/>
    <x v="1"/>
    <x v="1"/>
    <n v="18"/>
    <n v="40"/>
    <n v="720"/>
    <n v="0.08"/>
    <n v="57.6"/>
    <x v="7"/>
  </r>
  <r>
    <s v="order_id = 559"/>
    <x v="20"/>
    <x v="0"/>
    <x v="4"/>
    <n v="22"/>
    <n v="80"/>
    <n v="1760"/>
    <n v="0.09"/>
    <n v="158.4"/>
    <x v="8"/>
  </r>
  <r>
    <s v="order_id = 560"/>
    <x v="20"/>
    <x v="4"/>
    <x v="1"/>
    <n v="22"/>
    <n v="150"/>
    <n v="3300"/>
    <n v="0.02"/>
    <n v="66"/>
    <x v="9"/>
  </r>
  <r>
    <s v="order_id = 561"/>
    <x v="20"/>
    <x v="4"/>
    <x v="1"/>
    <n v="20"/>
    <n v="150"/>
    <n v="3000"/>
    <n v="0.09"/>
    <n v="270"/>
    <x v="6"/>
  </r>
  <r>
    <s v="order_id = 562"/>
    <x v="20"/>
    <x v="3"/>
    <x v="0"/>
    <n v="10"/>
    <n v="16"/>
    <n v="160"/>
    <n v="0.08"/>
    <n v="12.8"/>
    <x v="7"/>
  </r>
  <r>
    <s v="order_id = 563"/>
    <x v="20"/>
    <x v="1"/>
    <x v="2"/>
    <n v="12"/>
    <n v="40"/>
    <n v="480"/>
    <n v="0.02"/>
    <n v="9.6"/>
    <x v="8"/>
  </r>
  <r>
    <s v="order_id = 564"/>
    <x v="20"/>
    <x v="4"/>
    <x v="0"/>
    <n v="4"/>
    <n v="150"/>
    <n v="600"/>
    <n v="0.1"/>
    <n v="60"/>
    <x v="9"/>
  </r>
  <r>
    <s v="order_id = 565"/>
    <x v="20"/>
    <x v="0"/>
    <x v="2"/>
    <n v="5"/>
    <n v="80"/>
    <n v="400"/>
    <n v="0.09"/>
    <n v="36"/>
    <x v="6"/>
  </r>
  <r>
    <s v="order_id = 566"/>
    <x v="20"/>
    <x v="1"/>
    <x v="0"/>
    <n v="11"/>
    <n v="40"/>
    <n v="440"/>
    <n v="0.04"/>
    <n v="17.600000000000001"/>
    <x v="7"/>
  </r>
  <r>
    <s v="order_id = 567"/>
    <x v="20"/>
    <x v="4"/>
    <x v="1"/>
    <n v="13"/>
    <n v="150"/>
    <n v="1950"/>
    <n v="0.08"/>
    <n v="156"/>
    <x v="8"/>
  </r>
  <r>
    <s v="order_id = 568"/>
    <x v="20"/>
    <x v="0"/>
    <x v="3"/>
    <n v="19"/>
    <n v="80"/>
    <n v="1520"/>
    <n v="0.02"/>
    <n v="30.400000000000002"/>
    <x v="9"/>
  </r>
  <r>
    <s v="order_id = 569"/>
    <x v="20"/>
    <x v="2"/>
    <x v="1"/>
    <n v="7"/>
    <n v="230"/>
    <n v="1610"/>
    <n v="0.01"/>
    <n v="16.100000000000001"/>
    <x v="6"/>
  </r>
  <r>
    <s v="order_id = 570"/>
    <x v="21"/>
    <x v="0"/>
    <x v="4"/>
    <n v="16"/>
    <n v="80"/>
    <n v="1280"/>
    <n v="0.09"/>
    <n v="115.19999999999999"/>
    <x v="7"/>
  </r>
  <r>
    <s v="order_id = 571"/>
    <x v="21"/>
    <x v="2"/>
    <x v="0"/>
    <n v="7"/>
    <n v="230"/>
    <n v="1610"/>
    <n v="0.02"/>
    <n v="32.200000000000003"/>
    <x v="8"/>
  </r>
  <r>
    <s v="order_id = 572"/>
    <x v="21"/>
    <x v="1"/>
    <x v="0"/>
    <n v="5"/>
    <n v="40"/>
    <n v="200"/>
    <n v="0.06"/>
    <n v="12"/>
    <x v="9"/>
  </r>
  <r>
    <s v="order_id = 573"/>
    <x v="21"/>
    <x v="4"/>
    <x v="2"/>
    <n v="9"/>
    <n v="150"/>
    <n v="1350"/>
    <n v="0.06"/>
    <n v="81"/>
    <x v="6"/>
  </r>
  <r>
    <s v="order_id = 574"/>
    <x v="21"/>
    <x v="1"/>
    <x v="4"/>
    <n v="20"/>
    <n v="40"/>
    <n v="800"/>
    <n v="7.0000000000000007E-2"/>
    <n v="56.000000000000007"/>
    <x v="7"/>
  </r>
  <r>
    <s v="order_id = 575"/>
    <x v="21"/>
    <x v="3"/>
    <x v="1"/>
    <n v="20"/>
    <n v="16"/>
    <n v="320"/>
    <n v="0.06"/>
    <n v="19.2"/>
    <x v="8"/>
  </r>
  <r>
    <s v="order_id = 576"/>
    <x v="21"/>
    <x v="1"/>
    <x v="4"/>
    <n v="5"/>
    <n v="40"/>
    <n v="200"/>
    <n v="0.03"/>
    <n v="6"/>
    <x v="9"/>
  </r>
  <r>
    <s v="order_id = 577"/>
    <x v="22"/>
    <x v="0"/>
    <x v="3"/>
    <n v="7"/>
    <n v="80"/>
    <n v="560"/>
    <n v="7.0000000000000007E-2"/>
    <n v="39.200000000000003"/>
    <x v="6"/>
  </r>
  <r>
    <s v="order_id = 578"/>
    <x v="22"/>
    <x v="3"/>
    <x v="4"/>
    <n v="22"/>
    <n v="16"/>
    <n v="352"/>
    <n v="0.12"/>
    <n v="42.239999999999995"/>
    <x v="7"/>
  </r>
  <r>
    <s v="order_id = 579"/>
    <x v="22"/>
    <x v="3"/>
    <x v="4"/>
    <n v="11"/>
    <n v="16"/>
    <n v="176"/>
    <n v="0.12"/>
    <n v="21.119999999999997"/>
    <x v="8"/>
  </r>
  <r>
    <s v="order_id = 580"/>
    <x v="22"/>
    <x v="2"/>
    <x v="3"/>
    <n v="17"/>
    <n v="230"/>
    <n v="3910"/>
    <n v="0.12"/>
    <n v="469.2"/>
    <x v="9"/>
  </r>
  <r>
    <s v="order_id = 581"/>
    <x v="22"/>
    <x v="0"/>
    <x v="0"/>
    <n v="7"/>
    <n v="80"/>
    <n v="560"/>
    <n v="0.02"/>
    <n v="11.200000000000001"/>
    <x v="6"/>
  </r>
  <r>
    <s v="order_id = 582"/>
    <x v="22"/>
    <x v="3"/>
    <x v="1"/>
    <n v="5"/>
    <n v="16"/>
    <n v="80"/>
    <n v="0.11"/>
    <n v="8.8000000000000007"/>
    <x v="7"/>
  </r>
  <r>
    <s v="order_id = 583"/>
    <x v="22"/>
    <x v="4"/>
    <x v="4"/>
    <n v="18"/>
    <n v="150"/>
    <n v="2700"/>
    <n v="0.12"/>
    <n v="324"/>
    <x v="8"/>
  </r>
  <r>
    <s v="order_id = 584"/>
    <x v="22"/>
    <x v="1"/>
    <x v="4"/>
    <n v="10"/>
    <n v="40"/>
    <n v="400"/>
    <n v="0.03"/>
    <n v="12"/>
    <x v="9"/>
  </r>
  <r>
    <s v="order_id = 585"/>
    <x v="22"/>
    <x v="1"/>
    <x v="4"/>
    <n v="14"/>
    <n v="40"/>
    <n v="560"/>
    <n v="0.11"/>
    <n v="61.6"/>
    <x v="6"/>
  </r>
  <r>
    <s v="order_id = 586"/>
    <x v="22"/>
    <x v="1"/>
    <x v="4"/>
    <n v="16"/>
    <n v="40"/>
    <n v="640"/>
    <n v="0.09"/>
    <n v="57.599999999999994"/>
    <x v="7"/>
  </r>
  <r>
    <s v="order_id = 587"/>
    <x v="23"/>
    <x v="1"/>
    <x v="3"/>
    <n v="23"/>
    <n v="40"/>
    <n v="920"/>
    <n v="0.06"/>
    <n v="55.199999999999996"/>
    <x v="8"/>
  </r>
  <r>
    <s v="order_id = 588"/>
    <x v="23"/>
    <x v="2"/>
    <x v="3"/>
    <n v="8"/>
    <n v="230"/>
    <n v="1840"/>
    <n v="0.05"/>
    <n v="92"/>
    <x v="9"/>
  </r>
  <r>
    <s v="order_id = 589"/>
    <x v="23"/>
    <x v="3"/>
    <x v="3"/>
    <n v="14"/>
    <n v="16"/>
    <n v="224"/>
    <n v="0.12"/>
    <n v="26.88"/>
    <x v="6"/>
  </r>
  <r>
    <s v="order_id = 590"/>
    <x v="23"/>
    <x v="0"/>
    <x v="0"/>
    <n v="17"/>
    <n v="80"/>
    <n v="1360"/>
    <n v="0.09"/>
    <n v="122.39999999999999"/>
    <x v="7"/>
  </r>
  <r>
    <s v="order_id = 591"/>
    <x v="23"/>
    <x v="4"/>
    <x v="2"/>
    <n v="11"/>
    <n v="150"/>
    <n v="1650"/>
    <n v="0.11"/>
    <n v="181.5"/>
    <x v="8"/>
  </r>
  <r>
    <s v="order_id = 592"/>
    <x v="23"/>
    <x v="1"/>
    <x v="3"/>
    <n v="15"/>
    <n v="40"/>
    <n v="600"/>
    <n v="0.03"/>
    <n v="18"/>
    <x v="9"/>
  </r>
  <r>
    <s v="order_id = 593"/>
    <x v="23"/>
    <x v="0"/>
    <x v="4"/>
    <n v="9"/>
    <n v="80"/>
    <n v="720"/>
    <n v="7.0000000000000007E-2"/>
    <n v="50.400000000000006"/>
    <x v="6"/>
  </r>
  <r>
    <s v="order_id = 594"/>
    <x v="23"/>
    <x v="2"/>
    <x v="1"/>
    <n v="22"/>
    <n v="230"/>
    <n v="5060"/>
    <n v="0.04"/>
    <n v="202.4"/>
    <x v="7"/>
  </r>
  <r>
    <s v="order_id = 595"/>
    <x v="23"/>
    <x v="2"/>
    <x v="1"/>
    <n v="11"/>
    <n v="230"/>
    <n v="2530"/>
    <n v="0.1"/>
    <n v="253"/>
    <x v="8"/>
  </r>
  <r>
    <s v="order_id = 596"/>
    <x v="23"/>
    <x v="1"/>
    <x v="2"/>
    <n v="11"/>
    <n v="40"/>
    <n v="440"/>
    <n v="0.12"/>
    <n v="52.8"/>
    <x v="9"/>
  </r>
  <r>
    <s v="order_id = 597"/>
    <x v="23"/>
    <x v="1"/>
    <x v="3"/>
    <n v="9"/>
    <n v="40"/>
    <n v="360"/>
    <n v="0.06"/>
    <n v="21.599999999999998"/>
    <x v="6"/>
  </r>
  <r>
    <s v="order_id = 598"/>
    <x v="24"/>
    <x v="1"/>
    <x v="3"/>
    <n v="13"/>
    <n v="40"/>
    <n v="520"/>
    <n v="0.09"/>
    <n v="46.8"/>
    <x v="7"/>
  </r>
  <r>
    <s v="order_id = 599"/>
    <x v="24"/>
    <x v="1"/>
    <x v="1"/>
    <n v="4"/>
    <n v="40"/>
    <n v="160"/>
    <n v="0.12"/>
    <n v="19.2"/>
    <x v="8"/>
  </r>
  <r>
    <s v="order_id = 600"/>
    <x v="24"/>
    <x v="4"/>
    <x v="0"/>
    <n v="22"/>
    <n v="150"/>
    <n v="3300"/>
    <n v="0.05"/>
    <n v="165"/>
    <x v="9"/>
  </r>
  <r>
    <s v="order_id = 601"/>
    <x v="24"/>
    <x v="1"/>
    <x v="4"/>
    <n v="21"/>
    <n v="40"/>
    <n v="840"/>
    <n v="0.01"/>
    <n v="8.4"/>
    <x v="6"/>
  </r>
  <r>
    <s v="order_id = 602"/>
    <x v="24"/>
    <x v="3"/>
    <x v="0"/>
    <n v="16"/>
    <n v="16"/>
    <n v="256"/>
    <n v="0.03"/>
    <n v="7.68"/>
    <x v="7"/>
  </r>
  <r>
    <s v="order_id = 603"/>
    <x v="24"/>
    <x v="0"/>
    <x v="3"/>
    <n v="16"/>
    <n v="80"/>
    <n v="1280"/>
    <n v="7.0000000000000007E-2"/>
    <n v="89.600000000000009"/>
    <x v="8"/>
  </r>
  <r>
    <s v="order_id = 604"/>
    <x v="24"/>
    <x v="0"/>
    <x v="1"/>
    <n v="15"/>
    <n v="80"/>
    <n v="1200"/>
    <n v="0.12"/>
    <n v="144"/>
    <x v="9"/>
  </r>
  <r>
    <s v="order_id = 605"/>
    <x v="24"/>
    <x v="4"/>
    <x v="0"/>
    <n v="20"/>
    <n v="150"/>
    <n v="3000"/>
    <n v="0.03"/>
    <n v="90"/>
    <x v="6"/>
  </r>
  <r>
    <s v="order_id = 606"/>
    <x v="24"/>
    <x v="1"/>
    <x v="3"/>
    <n v="13"/>
    <n v="40"/>
    <n v="520"/>
    <n v="0.06"/>
    <n v="31.2"/>
    <x v="7"/>
  </r>
  <r>
    <s v="order_id = 607"/>
    <x v="24"/>
    <x v="3"/>
    <x v="4"/>
    <n v="3"/>
    <n v="16"/>
    <n v="48"/>
    <n v="0.06"/>
    <n v="2.88"/>
    <x v="8"/>
  </r>
  <r>
    <s v="order_id = 608"/>
    <x v="24"/>
    <x v="3"/>
    <x v="2"/>
    <n v="11"/>
    <n v="16"/>
    <n v="176"/>
    <n v="0.04"/>
    <n v="7.04"/>
    <x v="9"/>
  </r>
  <r>
    <s v="order_id = 609"/>
    <x v="25"/>
    <x v="1"/>
    <x v="4"/>
    <n v="16"/>
    <n v="40"/>
    <n v="640"/>
    <n v="0.09"/>
    <n v="57.599999999999994"/>
    <x v="6"/>
  </r>
  <r>
    <s v="order_id = 610"/>
    <x v="25"/>
    <x v="1"/>
    <x v="2"/>
    <n v="4"/>
    <n v="40"/>
    <n v="160"/>
    <n v="0.06"/>
    <n v="9.6"/>
    <x v="7"/>
  </r>
  <r>
    <s v="order_id = 611"/>
    <x v="25"/>
    <x v="1"/>
    <x v="2"/>
    <n v="20"/>
    <n v="40"/>
    <n v="800"/>
    <n v="0.01"/>
    <n v="8"/>
    <x v="8"/>
  </r>
  <r>
    <s v="order_id = 612"/>
    <x v="25"/>
    <x v="1"/>
    <x v="2"/>
    <n v="4"/>
    <n v="40"/>
    <n v="160"/>
    <n v="0.1"/>
    <n v="16"/>
    <x v="9"/>
  </r>
  <r>
    <s v="order_id = 613"/>
    <x v="25"/>
    <x v="0"/>
    <x v="1"/>
    <n v="14"/>
    <n v="80"/>
    <n v="1120"/>
    <n v="0.06"/>
    <n v="67.2"/>
    <x v="6"/>
  </r>
  <r>
    <s v="order_id = 614"/>
    <x v="25"/>
    <x v="4"/>
    <x v="1"/>
    <n v="15"/>
    <n v="150"/>
    <n v="2250"/>
    <n v="0.02"/>
    <n v="45"/>
    <x v="7"/>
  </r>
  <r>
    <s v="order_id = 615"/>
    <x v="25"/>
    <x v="0"/>
    <x v="2"/>
    <n v="14"/>
    <n v="80"/>
    <n v="1120"/>
    <n v="0.1"/>
    <n v="112"/>
    <x v="8"/>
  </r>
  <r>
    <s v="order_id = 616"/>
    <x v="25"/>
    <x v="4"/>
    <x v="0"/>
    <n v="20"/>
    <n v="150"/>
    <n v="3000"/>
    <n v="0.04"/>
    <n v="120"/>
    <x v="9"/>
  </r>
  <r>
    <s v="order_id = 617"/>
    <x v="25"/>
    <x v="0"/>
    <x v="4"/>
    <n v="22"/>
    <n v="80"/>
    <n v="1760"/>
    <n v="0.1"/>
    <n v="176"/>
    <x v="6"/>
  </r>
  <r>
    <s v="order_id = 618"/>
    <x v="25"/>
    <x v="2"/>
    <x v="4"/>
    <n v="20"/>
    <n v="230"/>
    <n v="4600"/>
    <n v="0.09"/>
    <n v="414"/>
    <x v="7"/>
  </r>
  <r>
    <s v="order_id = 619"/>
    <x v="25"/>
    <x v="2"/>
    <x v="2"/>
    <n v="12"/>
    <n v="230"/>
    <n v="2760"/>
    <n v="0.03"/>
    <n v="82.8"/>
    <x v="8"/>
  </r>
  <r>
    <s v="order_id = 620"/>
    <x v="26"/>
    <x v="0"/>
    <x v="0"/>
    <n v="21"/>
    <n v="80"/>
    <n v="1680"/>
    <n v="0.04"/>
    <n v="67.2"/>
    <x v="9"/>
  </r>
  <r>
    <s v="order_id = 621"/>
    <x v="26"/>
    <x v="1"/>
    <x v="1"/>
    <n v="15"/>
    <n v="40"/>
    <n v="600"/>
    <n v="0.04"/>
    <n v="24"/>
    <x v="6"/>
  </r>
  <r>
    <s v="order_id = 622"/>
    <x v="26"/>
    <x v="0"/>
    <x v="3"/>
    <n v="16"/>
    <n v="80"/>
    <n v="1280"/>
    <n v="0.1"/>
    <n v="128"/>
    <x v="7"/>
  </r>
  <r>
    <s v="order_id = 623"/>
    <x v="26"/>
    <x v="2"/>
    <x v="4"/>
    <n v="17"/>
    <n v="230"/>
    <n v="3910"/>
    <n v="0.11"/>
    <n v="430.1"/>
    <x v="8"/>
  </r>
  <r>
    <s v="order_id = 624"/>
    <x v="26"/>
    <x v="2"/>
    <x v="4"/>
    <n v="5"/>
    <n v="230"/>
    <n v="1150"/>
    <n v="0.12"/>
    <n v="138"/>
    <x v="9"/>
  </r>
  <r>
    <s v="order_id = 625"/>
    <x v="26"/>
    <x v="3"/>
    <x v="0"/>
    <n v="20"/>
    <n v="16"/>
    <n v="320"/>
    <n v="0.01"/>
    <n v="3.2"/>
    <x v="6"/>
  </r>
  <r>
    <s v="order_id = 626"/>
    <x v="26"/>
    <x v="2"/>
    <x v="0"/>
    <n v="5"/>
    <n v="230"/>
    <n v="1150"/>
    <n v="0.1"/>
    <n v="115"/>
    <x v="7"/>
  </r>
  <r>
    <s v="order_id = 627"/>
    <x v="26"/>
    <x v="1"/>
    <x v="1"/>
    <n v="8"/>
    <n v="40"/>
    <n v="320"/>
    <n v="0.09"/>
    <n v="28.799999999999997"/>
    <x v="8"/>
  </r>
  <r>
    <s v="order_id = 628"/>
    <x v="26"/>
    <x v="3"/>
    <x v="0"/>
    <n v="7"/>
    <n v="16"/>
    <n v="112"/>
    <n v="0.02"/>
    <n v="2.2400000000000002"/>
    <x v="9"/>
  </r>
  <r>
    <s v="order_id = 629"/>
    <x v="26"/>
    <x v="4"/>
    <x v="3"/>
    <n v="15"/>
    <n v="150"/>
    <n v="2250"/>
    <n v="0.08"/>
    <n v="180"/>
    <x v="6"/>
  </r>
  <r>
    <s v="order_id = 630"/>
    <x v="26"/>
    <x v="2"/>
    <x v="4"/>
    <n v="20"/>
    <n v="230"/>
    <n v="4600"/>
    <n v="0.11"/>
    <n v="506"/>
    <x v="7"/>
  </r>
  <r>
    <s v="order_id = 631"/>
    <x v="26"/>
    <x v="3"/>
    <x v="1"/>
    <n v="4"/>
    <n v="16"/>
    <n v="64"/>
    <n v="0.09"/>
    <n v="5.76"/>
    <x v="8"/>
  </r>
  <r>
    <s v="order_id = 632"/>
    <x v="26"/>
    <x v="1"/>
    <x v="3"/>
    <n v="11"/>
    <n v="40"/>
    <n v="440"/>
    <n v="0.09"/>
    <n v="39.6"/>
    <x v="9"/>
  </r>
  <r>
    <s v="order_id = 633"/>
    <x v="26"/>
    <x v="4"/>
    <x v="2"/>
    <n v="15"/>
    <n v="150"/>
    <n v="2250"/>
    <n v="0.05"/>
    <n v="112.5"/>
    <x v="6"/>
  </r>
  <r>
    <s v="order_id = 634"/>
    <x v="26"/>
    <x v="2"/>
    <x v="2"/>
    <n v="5"/>
    <n v="230"/>
    <n v="1150"/>
    <n v="0.01"/>
    <n v="11.5"/>
    <x v="7"/>
  </r>
  <r>
    <s v="order_id = 635"/>
    <x v="26"/>
    <x v="2"/>
    <x v="2"/>
    <n v="14"/>
    <n v="230"/>
    <n v="3220"/>
    <n v="0.03"/>
    <n v="96.6"/>
    <x v="8"/>
  </r>
  <r>
    <s v="order_id = 636"/>
    <x v="26"/>
    <x v="1"/>
    <x v="4"/>
    <n v="23"/>
    <n v="40"/>
    <n v="920"/>
    <n v="0.05"/>
    <n v="46"/>
    <x v="9"/>
  </r>
  <r>
    <s v="order_id = 637"/>
    <x v="26"/>
    <x v="0"/>
    <x v="3"/>
    <n v="22"/>
    <n v="80"/>
    <n v="1760"/>
    <n v="0.03"/>
    <n v="52.8"/>
    <x v="6"/>
  </r>
  <r>
    <s v="order_id = 638"/>
    <x v="27"/>
    <x v="2"/>
    <x v="2"/>
    <n v="20"/>
    <n v="230"/>
    <n v="4600"/>
    <n v="0.06"/>
    <n v="276"/>
    <x v="7"/>
  </r>
  <r>
    <s v="order_id = 639"/>
    <x v="27"/>
    <x v="2"/>
    <x v="1"/>
    <n v="15"/>
    <n v="230"/>
    <n v="3450"/>
    <n v="0.09"/>
    <n v="310.5"/>
    <x v="8"/>
  </r>
  <r>
    <s v="order_id = 640"/>
    <x v="27"/>
    <x v="4"/>
    <x v="2"/>
    <n v="18"/>
    <n v="150"/>
    <n v="2700"/>
    <n v="0.06"/>
    <n v="162"/>
    <x v="9"/>
  </r>
  <r>
    <s v="order_id = 641"/>
    <x v="27"/>
    <x v="2"/>
    <x v="0"/>
    <n v="3"/>
    <n v="230"/>
    <n v="690"/>
    <n v="0.11"/>
    <n v="75.900000000000006"/>
    <x v="6"/>
  </r>
  <r>
    <s v="order_id = 642"/>
    <x v="27"/>
    <x v="4"/>
    <x v="4"/>
    <n v="11"/>
    <n v="150"/>
    <n v="1650"/>
    <n v="0.09"/>
    <n v="148.5"/>
    <x v="7"/>
  </r>
  <r>
    <s v="order_id = 643"/>
    <x v="27"/>
    <x v="2"/>
    <x v="0"/>
    <n v="11"/>
    <n v="230"/>
    <n v="2530"/>
    <n v="0.02"/>
    <n v="50.6"/>
    <x v="8"/>
  </r>
  <r>
    <s v="order_id = 644"/>
    <x v="27"/>
    <x v="2"/>
    <x v="4"/>
    <n v="13"/>
    <n v="230"/>
    <n v="2990"/>
    <n v="0.06"/>
    <n v="179.4"/>
    <x v="9"/>
  </r>
  <r>
    <s v="order_id = 645"/>
    <x v="28"/>
    <x v="0"/>
    <x v="3"/>
    <n v="11"/>
    <n v="80"/>
    <n v="880"/>
    <n v="0.01"/>
    <n v="8.8000000000000007"/>
    <x v="6"/>
  </r>
  <r>
    <s v="order_id = 646"/>
    <x v="28"/>
    <x v="0"/>
    <x v="4"/>
    <n v="17"/>
    <n v="80"/>
    <n v="1360"/>
    <n v="7.0000000000000007E-2"/>
    <n v="95.2"/>
    <x v="7"/>
  </r>
  <r>
    <s v="order_id = 647"/>
    <x v="28"/>
    <x v="4"/>
    <x v="4"/>
    <n v="15"/>
    <n v="150"/>
    <n v="2250"/>
    <n v="7.0000000000000007E-2"/>
    <n v="157.50000000000003"/>
    <x v="8"/>
  </r>
  <r>
    <s v="order_id = 648"/>
    <x v="28"/>
    <x v="3"/>
    <x v="4"/>
    <n v="14"/>
    <n v="16"/>
    <n v="224"/>
    <n v="0.06"/>
    <n v="13.44"/>
    <x v="9"/>
  </r>
  <r>
    <s v="order_id = 649"/>
    <x v="28"/>
    <x v="3"/>
    <x v="1"/>
    <n v="4"/>
    <n v="16"/>
    <n v="64"/>
    <n v="7.0000000000000007E-2"/>
    <n v="4.4800000000000004"/>
    <x v="6"/>
  </r>
  <r>
    <s v="order_id = 650"/>
    <x v="28"/>
    <x v="4"/>
    <x v="4"/>
    <n v="23"/>
    <n v="150"/>
    <n v="3450"/>
    <n v="0.08"/>
    <n v="276"/>
    <x v="7"/>
  </r>
  <r>
    <s v="order_id = 651"/>
    <x v="28"/>
    <x v="0"/>
    <x v="2"/>
    <n v="10"/>
    <n v="80"/>
    <n v="800"/>
    <n v="0.11"/>
    <n v="88"/>
    <x v="8"/>
  </r>
  <r>
    <s v="order_id = 652"/>
    <x v="28"/>
    <x v="2"/>
    <x v="2"/>
    <n v="7"/>
    <n v="230"/>
    <n v="1610"/>
    <n v="0.01"/>
    <n v="16.100000000000001"/>
    <x v="9"/>
  </r>
  <r>
    <s v="order_id = 653"/>
    <x v="28"/>
    <x v="2"/>
    <x v="0"/>
    <n v="16"/>
    <n v="230"/>
    <n v="3680"/>
    <n v="7.0000000000000007E-2"/>
    <n v="257.60000000000002"/>
    <x v="6"/>
  </r>
  <r>
    <s v="order_id = 654"/>
    <x v="28"/>
    <x v="3"/>
    <x v="4"/>
    <n v="17"/>
    <n v="16"/>
    <n v="272"/>
    <n v="0.08"/>
    <n v="21.76"/>
    <x v="7"/>
  </r>
  <r>
    <s v="order_id = 655"/>
    <x v="29"/>
    <x v="0"/>
    <x v="4"/>
    <n v="6"/>
    <n v="80"/>
    <n v="480"/>
    <n v="0.09"/>
    <n v="43.199999999999996"/>
    <x v="8"/>
  </r>
  <r>
    <s v="order_id = 656"/>
    <x v="29"/>
    <x v="4"/>
    <x v="2"/>
    <n v="22"/>
    <n v="150"/>
    <n v="3300"/>
    <n v="0.04"/>
    <n v="132"/>
    <x v="9"/>
  </r>
  <r>
    <s v="order_id = 657"/>
    <x v="29"/>
    <x v="1"/>
    <x v="4"/>
    <n v="20"/>
    <n v="40"/>
    <n v="800"/>
    <n v="0.03"/>
    <n v="24"/>
    <x v="6"/>
  </r>
  <r>
    <s v="order_id = 658"/>
    <x v="29"/>
    <x v="4"/>
    <x v="1"/>
    <n v="16"/>
    <n v="150"/>
    <n v="2400"/>
    <n v="0.08"/>
    <n v="192"/>
    <x v="7"/>
  </r>
  <r>
    <s v="order_id = 659"/>
    <x v="29"/>
    <x v="0"/>
    <x v="1"/>
    <n v="5"/>
    <n v="80"/>
    <n v="400"/>
    <n v="7.0000000000000007E-2"/>
    <n v="28.000000000000004"/>
    <x v="8"/>
  </r>
  <r>
    <s v="order_id = 660"/>
    <x v="29"/>
    <x v="4"/>
    <x v="3"/>
    <n v="6"/>
    <n v="150"/>
    <n v="900"/>
    <n v="0.03"/>
    <n v="27"/>
    <x v="9"/>
  </r>
  <r>
    <s v="order_id = 661"/>
    <x v="30"/>
    <x v="0"/>
    <x v="1"/>
    <n v="9"/>
    <n v="80"/>
    <n v="720"/>
    <n v="0.03"/>
    <n v="21.599999999999998"/>
    <x v="6"/>
  </r>
  <r>
    <s v="order_id = 662"/>
    <x v="30"/>
    <x v="0"/>
    <x v="0"/>
    <n v="8"/>
    <n v="80"/>
    <n v="640"/>
    <n v="0.08"/>
    <n v="51.2"/>
    <x v="7"/>
  </r>
  <r>
    <s v="order_id = 663"/>
    <x v="30"/>
    <x v="2"/>
    <x v="3"/>
    <n v="8"/>
    <n v="230"/>
    <n v="1840"/>
    <n v="0.01"/>
    <n v="18.400000000000002"/>
    <x v="8"/>
  </r>
  <r>
    <s v="order_id = 664"/>
    <x v="30"/>
    <x v="3"/>
    <x v="4"/>
    <n v="12"/>
    <n v="16"/>
    <n v="192"/>
    <n v="0.04"/>
    <n v="7.68"/>
    <x v="9"/>
  </r>
  <r>
    <s v="order_id = 665"/>
    <x v="30"/>
    <x v="3"/>
    <x v="3"/>
    <n v="18"/>
    <n v="16"/>
    <n v="288"/>
    <n v="0.04"/>
    <n v="11.52"/>
    <x v="6"/>
  </r>
  <r>
    <s v="order_id = 666"/>
    <x v="0"/>
    <x v="3"/>
    <x v="3"/>
    <n v="10"/>
    <n v="16"/>
    <n v="160"/>
    <n v="0.01"/>
    <n v="1.6"/>
    <x v="7"/>
  </r>
  <r>
    <s v="order_id = 667"/>
    <x v="0"/>
    <x v="3"/>
    <x v="3"/>
    <n v="14"/>
    <n v="16"/>
    <n v="224"/>
    <n v="0.12"/>
    <n v="26.88"/>
    <x v="8"/>
  </r>
  <r>
    <s v="order_id = 668"/>
    <x v="0"/>
    <x v="1"/>
    <x v="2"/>
    <n v="6"/>
    <n v="40"/>
    <n v="240"/>
    <n v="0.06"/>
    <n v="14.399999999999999"/>
    <x v="9"/>
  </r>
  <r>
    <s v="order_id = 669"/>
    <x v="0"/>
    <x v="1"/>
    <x v="3"/>
    <n v="13"/>
    <n v="40"/>
    <n v="520"/>
    <n v="0.09"/>
    <n v="46.8"/>
    <x v="6"/>
  </r>
  <r>
    <s v="order_id = 670"/>
    <x v="0"/>
    <x v="3"/>
    <x v="3"/>
    <n v="10"/>
    <n v="16"/>
    <n v="160"/>
    <n v="0.04"/>
    <n v="6.4"/>
    <x v="7"/>
  </r>
  <r>
    <s v="order_id = 671"/>
    <x v="0"/>
    <x v="0"/>
    <x v="1"/>
    <n v="14"/>
    <n v="80"/>
    <n v="1120"/>
    <n v="0.11"/>
    <n v="123.2"/>
    <x v="8"/>
  </r>
  <r>
    <s v="order_id = 672"/>
    <x v="0"/>
    <x v="1"/>
    <x v="1"/>
    <n v="4"/>
    <n v="40"/>
    <n v="160"/>
    <n v="0.06"/>
    <n v="9.6"/>
    <x v="9"/>
  </r>
  <r>
    <s v="order_id = 673"/>
    <x v="0"/>
    <x v="1"/>
    <x v="2"/>
    <n v="11"/>
    <n v="40"/>
    <n v="440"/>
    <n v="0.05"/>
    <n v="22"/>
    <x v="6"/>
  </r>
  <r>
    <s v="order_id = 674"/>
    <x v="0"/>
    <x v="3"/>
    <x v="2"/>
    <n v="14"/>
    <n v="16"/>
    <n v="224"/>
    <n v="0.01"/>
    <n v="2.2400000000000002"/>
    <x v="7"/>
  </r>
  <r>
    <s v="order_id = 675"/>
    <x v="0"/>
    <x v="4"/>
    <x v="0"/>
    <n v="20"/>
    <n v="150"/>
    <n v="3000"/>
    <n v="0.04"/>
    <n v="120"/>
    <x v="8"/>
  </r>
  <r>
    <s v="order_id = 676"/>
    <x v="0"/>
    <x v="1"/>
    <x v="3"/>
    <n v="9"/>
    <n v="40"/>
    <n v="360"/>
    <n v="0.06"/>
    <n v="21.599999999999998"/>
    <x v="9"/>
  </r>
  <r>
    <s v="order_id = 677"/>
    <x v="0"/>
    <x v="4"/>
    <x v="2"/>
    <n v="18"/>
    <n v="150"/>
    <n v="2700"/>
    <n v="0.06"/>
    <n v="162"/>
    <x v="6"/>
  </r>
  <r>
    <s v="order_id = 678"/>
    <x v="0"/>
    <x v="2"/>
    <x v="4"/>
    <n v="17"/>
    <n v="230"/>
    <n v="3910"/>
    <n v="0.11"/>
    <n v="430.1"/>
    <x v="7"/>
  </r>
  <r>
    <s v="order_id = 679"/>
    <x v="1"/>
    <x v="1"/>
    <x v="0"/>
    <n v="20"/>
    <n v="40"/>
    <n v="800"/>
    <n v="0.04"/>
    <n v="32"/>
    <x v="8"/>
  </r>
  <r>
    <s v="order_id = 680"/>
    <x v="1"/>
    <x v="1"/>
    <x v="0"/>
    <n v="23"/>
    <n v="40"/>
    <n v="920"/>
    <n v="0.03"/>
    <n v="27.599999999999998"/>
    <x v="9"/>
  </r>
  <r>
    <s v="order_id = 681"/>
    <x v="1"/>
    <x v="2"/>
    <x v="4"/>
    <n v="21"/>
    <n v="230"/>
    <n v="4830"/>
    <n v="0.05"/>
    <n v="241.5"/>
    <x v="6"/>
  </r>
  <r>
    <s v="order_id = 682"/>
    <x v="1"/>
    <x v="0"/>
    <x v="2"/>
    <n v="6"/>
    <n v="80"/>
    <n v="480"/>
    <n v="0.09"/>
    <n v="43.199999999999996"/>
    <x v="7"/>
  </r>
  <r>
    <s v="order_id = 683"/>
    <x v="1"/>
    <x v="3"/>
    <x v="0"/>
    <n v="20"/>
    <n v="16"/>
    <n v="320"/>
    <n v="0.01"/>
    <n v="3.2"/>
    <x v="8"/>
  </r>
  <r>
    <s v="order_id = 684"/>
    <x v="1"/>
    <x v="1"/>
    <x v="1"/>
    <n v="8"/>
    <n v="40"/>
    <n v="320"/>
    <n v="0.09"/>
    <n v="28.799999999999997"/>
    <x v="9"/>
  </r>
  <r>
    <s v="order_id = 685"/>
    <x v="1"/>
    <x v="2"/>
    <x v="1"/>
    <n v="15"/>
    <n v="230"/>
    <n v="3450"/>
    <n v="0.09"/>
    <n v="310.5"/>
    <x v="6"/>
  </r>
  <r>
    <s v="order_id = 686"/>
    <x v="2"/>
    <x v="0"/>
    <x v="3"/>
    <n v="21"/>
    <n v="80"/>
    <n v="1680"/>
    <n v="0.02"/>
    <n v="33.6"/>
    <x v="7"/>
  </r>
  <r>
    <s v="order_id = 687"/>
    <x v="2"/>
    <x v="0"/>
    <x v="3"/>
    <n v="19"/>
    <n v="80"/>
    <n v="1520"/>
    <n v="0.02"/>
    <n v="30.400000000000002"/>
    <x v="8"/>
  </r>
  <r>
    <s v="order_id = 688"/>
    <x v="2"/>
    <x v="3"/>
    <x v="0"/>
    <n v="7"/>
    <n v="16"/>
    <n v="112"/>
    <n v="0.08"/>
    <n v="8.9600000000000009"/>
    <x v="9"/>
  </r>
  <r>
    <s v="order_id = 689"/>
    <x v="2"/>
    <x v="1"/>
    <x v="4"/>
    <n v="11"/>
    <n v="40"/>
    <n v="440"/>
    <n v="0.05"/>
    <n v="22"/>
    <x v="6"/>
  </r>
  <r>
    <s v="order_id = 690"/>
    <x v="2"/>
    <x v="2"/>
    <x v="3"/>
    <n v="8"/>
    <n v="230"/>
    <n v="1840"/>
    <n v="0.05"/>
    <n v="92"/>
    <x v="7"/>
  </r>
  <r>
    <s v="order_id = 691"/>
    <x v="2"/>
    <x v="0"/>
    <x v="0"/>
    <n v="18"/>
    <n v="80"/>
    <n v="1440"/>
    <n v="0.02"/>
    <n v="28.8"/>
    <x v="8"/>
  </r>
  <r>
    <s v="order_id = 692"/>
    <x v="2"/>
    <x v="1"/>
    <x v="0"/>
    <n v="7"/>
    <n v="40"/>
    <n v="280"/>
    <n v="0.1"/>
    <n v="28"/>
    <x v="9"/>
  </r>
  <r>
    <s v="order_id = 693"/>
    <x v="3"/>
    <x v="3"/>
    <x v="0"/>
    <n v="16"/>
    <n v="16"/>
    <n v="256"/>
    <n v="0.03"/>
    <n v="7.68"/>
    <x v="6"/>
  </r>
  <r>
    <s v="order_id = 694"/>
    <x v="3"/>
    <x v="0"/>
    <x v="0"/>
    <n v="8"/>
    <n v="80"/>
    <n v="640"/>
    <n v="0.08"/>
    <n v="51.2"/>
    <x v="7"/>
  </r>
  <r>
    <s v="order_id = 695"/>
    <x v="3"/>
    <x v="2"/>
    <x v="4"/>
    <n v="22"/>
    <n v="230"/>
    <n v="5060"/>
    <n v="0.1"/>
    <n v="506"/>
    <x v="8"/>
  </r>
  <r>
    <s v="order_id = 696"/>
    <x v="3"/>
    <x v="2"/>
    <x v="4"/>
    <n v="3"/>
    <n v="230"/>
    <n v="690"/>
    <n v="0.1"/>
    <n v="69"/>
    <x v="9"/>
  </r>
  <r>
    <s v="order_id = 697"/>
    <x v="3"/>
    <x v="2"/>
    <x v="4"/>
    <n v="20"/>
    <n v="230"/>
    <n v="4600"/>
    <n v="0.11"/>
    <n v="506"/>
    <x v="6"/>
  </r>
  <r>
    <s v="order_id = 698"/>
    <x v="3"/>
    <x v="3"/>
    <x v="2"/>
    <n v="12"/>
    <n v="16"/>
    <n v="192"/>
    <n v="0.03"/>
    <n v="5.76"/>
    <x v="7"/>
  </r>
  <r>
    <s v="order_id = 699"/>
    <x v="3"/>
    <x v="1"/>
    <x v="4"/>
    <n v="20"/>
    <n v="40"/>
    <n v="800"/>
    <n v="7.0000000000000007E-2"/>
    <n v="56.000000000000007"/>
    <x v="8"/>
  </r>
  <r>
    <s v="order_id = 700"/>
    <x v="3"/>
    <x v="2"/>
    <x v="0"/>
    <n v="3"/>
    <n v="230"/>
    <n v="690"/>
    <n v="0.06"/>
    <n v="41.4"/>
    <x v="9"/>
  </r>
  <r>
    <s v="order_id = 701"/>
    <x v="3"/>
    <x v="0"/>
    <x v="3"/>
    <n v="16"/>
    <n v="80"/>
    <n v="1280"/>
    <n v="7.0000000000000007E-2"/>
    <n v="89.600000000000009"/>
    <x v="6"/>
  </r>
  <r>
    <s v="order_id = 702"/>
    <x v="4"/>
    <x v="1"/>
    <x v="4"/>
    <n v="3"/>
    <n v="40"/>
    <n v="120"/>
    <n v="0.03"/>
    <n v="3.5999999999999996"/>
    <x v="7"/>
  </r>
  <r>
    <s v="order_id = 703"/>
    <x v="4"/>
    <x v="2"/>
    <x v="2"/>
    <n v="12"/>
    <n v="230"/>
    <n v="2760"/>
    <n v="0.03"/>
    <n v="82.8"/>
    <x v="8"/>
  </r>
  <r>
    <s v="order_id = 704"/>
    <x v="4"/>
    <x v="1"/>
    <x v="3"/>
    <n v="22"/>
    <n v="40"/>
    <n v="880"/>
    <n v="0.01"/>
    <n v="8.8000000000000007"/>
    <x v="9"/>
  </r>
  <r>
    <s v="order_id = 705"/>
    <x v="4"/>
    <x v="1"/>
    <x v="1"/>
    <n v="19"/>
    <n v="40"/>
    <n v="760"/>
    <n v="0.1"/>
    <n v="76"/>
    <x v="6"/>
  </r>
  <r>
    <s v="order_id = 706"/>
    <x v="4"/>
    <x v="0"/>
    <x v="1"/>
    <n v="21"/>
    <n v="80"/>
    <n v="1680"/>
    <n v="0.04"/>
    <n v="67.2"/>
    <x v="7"/>
  </r>
  <r>
    <s v="order_id = 707"/>
    <x v="4"/>
    <x v="0"/>
    <x v="1"/>
    <n v="2"/>
    <n v="80"/>
    <n v="160"/>
    <n v="0.04"/>
    <n v="6.4"/>
    <x v="8"/>
  </r>
  <r>
    <s v="order_id = 708"/>
    <x v="4"/>
    <x v="4"/>
    <x v="1"/>
    <n v="15"/>
    <n v="150"/>
    <n v="2250"/>
    <n v="0.02"/>
    <n v="45"/>
    <x v="9"/>
  </r>
  <r>
    <s v="order_id = 709"/>
    <x v="5"/>
    <x v="1"/>
    <x v="1"/>
    <n v="14"/>
    <n v="40"/>
    <n v="560"/>
    <n v="0.06"/>
    <n v="33.6"/>
    <x v="6"/>
  </r>
  <r>
    <s v="order_id = 710"/>
    <x v="5"/>
    <x v="0"/>
    <x v="3"/>
    <n v="7"/>
    <n v="80"/>
    <n v="560"/>
    <n v="7.0000000000000007E-2"/>
    <n v="39.200000000000003"/>
    <x v="7"/>
  </r>
  <r>
    <s v="order_id = 711"/>
    <x v="5"/>
    <x v="0"/>
    <x v="2"/>
    <n v="7"/>
    <n v="80"/>
    <n v="560"/>
    <n v="0.05"/>
    <n v="28"/>
    <x v="8"/>
  </r>
  <r>
    <s v="order_id = 712"/>
    <x v="5"/>
    <x v="4"/>
    <x v="1"/>
    <n v="10"/>
    <n v="150"/>
    <n v="1500"/>
    <n v="0.01"/>
    <n v="15"/>
    <x v="9"/>
  </r>
  <r>
    <s v="order_id = 713"/>
    <x v="5"/>
    <x v="0"/>
    <x v="2"/>
    <n v="10"/>
    <n v="80"/>
    <n v="800"/>
    <n v="0.08"/>
    <n v="64"/>
    <x v="6"/>
  </r>
  <r>
    <s v="order_id = 714"/>
    <x v="5"/>
    <x v="0"/>
    <x v="3"/>
    <n v="15"/>
    <n v="80"/>
    <n v="1200"/>
    <n v="0.08"/>
    <n v="96"/>
    <x v="7"/>
  </r>
  <r>
    <s v="order_id = 715"/>
    <x v="5"/>
    <x v="2"/>
    <x v="3"/>
    <n v="18"/>
    <n v="230"/>
    <n v="4140"/>
    <n v="0.01"/>
    <n v="41.4"/>
    <x v="8"/>
  </r>
  <r>
    <s v="order_id = 716"/>
    <x v="5"/>
    <x v="0"/>
    <x v="0"/>
    <n v="8"/>
    <n v="80"/>
    <n v="640"/>
    <n v="0.09"/>
    <n v="57.599999999999994"/>
    <x v="9"/>
  </r>
  <r>
    <s v="order_id = 717"/>
    <x v="5"/>
    <x v="3"/>
    <x v="2"/>
    <n v="6"/>
    <n v="16"/>
    <n v="96"/>
    <n v="0.01"/>
    <n v="0.96"/>
    <x v="6"/>
  </r>
  <r>
    <s v="order_id = 718"/>
    <x v="5"/>
    <x v="2"/>
    <x v="1"/>
    <n v="9"/>
    <n v="230"/>
    <n v="2070"/>
    <n v="0.03"/>
    <n v="62.099999999999994"/>
    <x v="7"/>
  </r>
  <r>
    <s v="order_id = 719"/>
    <x v="6"/>
    <x v="1"/>
    <x v="3"/>
    <n v="15"/>
    <n v="40"/>
    <n v="600"/>
    <n v="0.03"/>
    <n v="18"/>
    <x v="8"/>
  </r>
  <r>
    <s v="order_id = 720"/>
    <x v="6"/>
    <x v="1"/>
    <x v="1"/>
    <n v="15"/>
    <n v="40"/>
    <n v="600"/>
    <n v="0.04"/>
    <n v="24"/>
    <x v="9"/>
  </r>
  <r>
    <s v="order_id = 721"/>
    <x v="6"/>
    <x v="3"/>
    <x v="4"/>
    <n v="11"/>
    <n v="16"/>
    <n v="176"/>
    <n v="0.12"/>
    <n v="21.119999999999997"/>
    <x v="6"/>
  </r>
  <r>
    <s v="order_id = 722"/>
    <x v="6"/>
    <x v="3"/>
    <x v="0"/>
    <n v="12"/>
    <n v="16"/>
    <n v="192"/>
    <n v="0.11"/>
    <n v="21.12"/>
    <x v="2"/>
  </r>
  <r>
    <s v="order_id = 723"/>
    <x v="6"/>
    <x v="3"/>
    <x v="3"/>
    <n v="18"/>
    <n v="16"/>
    <n v="288"/>
    <n v="0.04"/>
    <n v="11.52"/>
    <x v="8"/>
  </r>
  <r>
    <s v="order_id = 724"/>
    <x v="6"/>
    <x v="1"/>
    <x v="2"/>
    <n v="20"/>
    <n v="40"/>
    <n v="800"/>
    <n v="0.01"/>
    <n v="8"/>
    <x v="2"/>
  </r>
  <r>
    <s v="order_id = 725"/>
    <x v="6"/>
    <x v="4"/>
    <x v="4"/>
    <n v="7"/>
    <n v="150"/>
    <n v="1050"/>
    <n v="0.03"/>
    <n v="31.5"/>
    <x v="8"/>
  </r>
  <r>
    <s v="order_id = 726"/>
    <x v="6"/>
    <x v="1"/>
    <x v="3"/>
    <n v="23"/>
    <n v="40"/>
    <n v="920"/>
    <n v="0.06"/>
    <n v="55.199999999999996"/>
    <x v="2"/>
  </r>
  <r>
    <s v="order_id = 727"/>
    <x v="6"/>
    <x v="0"/>
    <x v="0"/>
    <n v="7"/>
    <n v="80"/>
    <n v="560"/>
    <n v="0.02"/>
    <n v="11.200000000000001"/>
    <x v="8"/>
  </r>
  <r>
    <s v="order_id = 728"/>
    <x v="6"/>
    <x v="4"/>
    <x v="1"/>
    <n v="16"/>
    <n v="150"/>
    <n v="2400"/>
    <n v="0.05"/>
    <n v="120"/>
    <x v="2"/>
  </r>
  <r>
    <s v="order_id = 729"/>
    <x v="6"/>
    <x v="2"/>
    <x v="1"/>
    <n v="6"/>
    <n v="230"/>
    <n v="1380"/>
    <n v="0.1"/>
    <n v="138"/>
    <x v="8"/>
  </r>
  <r>
    <s v="order_id = 730"/>
    <x v="7"/>
    <x v="1"/>
    <x v="4"/>
    <n v="7"/>
    <n v="40"/>
    <n v="280"/>
    <n v="0.12"/>
    <n v="33.6"/>
    <x v="2"/>
  </r>
  <r>
    <s v="order_id = 731"/>
    <x v="7"/>
    <x v="0"/>
    <x v="2"/>
    <n v="23"/>
    <n v="80"/>
    <n v="1840"/>
    <n v="0.05"/>
    <n v="92"/>
    <x v="8"/>
  </r>
  <r>
    <s v="order_id = 732"/>
    <x v="7"/>
    <x v="0"/>
    <x v="3"/>
    <n v="16"/>
    <n v="80"/>
    <n v="1280"/>
    <n v="0.1"/>
    <n v="128"/>
    <x v="2"/>
  </r>
  <r>
    <s v="order_id = 733"/>
    <x v="7"/>
    <x v="0"/>
    <x v="0"/>
    <n v="16"/>
    <n v="80"/>
    <n v="1280"/>
    <n v="0.03"/>
    <n v="38.4"/>
    <x v="8"/>
  </r>
  <r>
    <s v="order_id = 734"/>
    <x v="7"/>
    <x v="0"/>
    <x v="4"/>
    <n v="22"/>
    <n v="80"/>
    <n v="1760"/>
    <n v="0.09"/>
    <n v="158.4"/>
    <x v="2"/>
  </r>
  <r>
    <s v="order_id = 735"/>
    <x v="7"/>
    <x v="3"/>
    <x v="0"/>
    <n v="18"/>
    <n v="16"/>
    <n v="288"/>
    <n v="0.05"/>
    <n v="14.4"/>
    <x v="8"/>
  </r>
  <r>
    <s v="order_id = 736"/>
    <x v="7"/>
    <x v="2"/>
    <x v="4"/>
    <n v="5"/>
    <n v="230"/>
    <n v="1150"/>
    <n v="0.12"/>
    <n v="138"/>
    <x v="2"/>
  </r>
  <r>
    <s v="order_id = 737"/>
    <x v="7"/>
    <x v="4"/>
    <x v="4"/>
    <n v="7"/>
    <n v="150"/>
    <n v="1050"/>
    <n v="0.02"/>
    <n v="21"/>
    <x v="8"/>
  </r>
  <r>
    <s v="order_id = 738"/>
    <x v="7"/>
    <x v="1"/>
    <x v="2"/>
    <n v="2"/>
    <n v="40"/>
    <n v="80"/>
    <n v="0.03"/>
    <n v="2.4"/>
    <x v="2"/>
  </r>
  <r>
    <s v="order_id = 739"/>
    <x v="7"/>
    <x v="1"/>
    <x v="3"/>
    <n v="11"/>
    <n v="40"/>
    <n v="440"/>
    <n v="0.06"/>
    <n v="26.4"/>
    <x v="8"/>
  </r>
  <r>
    <s v="order_id = 740"/>
    <x v="7"/>
    <x v="0"/>
    <x v="3"/>
    <n v="7"/>
    <n v="80"/>
    <n v="560"/>
    <n v="0.02"/>
    <n v="11.200000000000001"/>
    <x v="2"/>
  </r>
  <r>
    <s v="order_id = 741"/>
    <x v="8"/>
    <x v="1"/>
    <x v="2"/>
    <n v="4"/>
    <n v="40"/>
    <n v="160"/>
    <n v="0.11"/>
    <n v="17.600000000000001"/>
    <x v="8"/>
  </r>
  <r>
    <s v="order_id = 742"/>
    <x v="8"/>
    <x v="1"/>
    <x v="2"/>
    <n v="2"/>
    <n v="40"/>
    <n v="80"/>
    <n v="0.02"/>
    <n v="1.6"/>
    <x v="2"/>
  </r>
  <r>
    <s v="order_id = 743"/>
    <x v="8"/>
    <x v="2"/>
    <x v="3"/>
    <n v="23"/>
    <n v="230"/>
    <n v="5290"/>
    <n v="0.06"/>
    <n v="317.39999999999998"/>
    <x v="8"/>
  </r>
  <r>
    <s v="order_id = 744"/>
    <x v="8"/>
    <x v="0"/>
    <x v="4"/>
    <n v="21"/>
    <n v="80"/>
    <n v="1680"/>
    <n v="0.09"/>
    <n v="151.19999999999999"/>
    <x v="2"/>
  </r>
  <r>
    <s v="order_id = 745"/>
    <x v="8"/>
    <x v="0"/>
    <x v="4"/>
    <n v="9"/>
    <n v="80"/>
    <n v="720"/>
    <n v="0.06"/>
    <n v="43.199999999999996"/>
    <x v="8"/>
  </r>
  <r>
    <s v="order_id = 746"/>
    <x v="8"/>
    <x v="0"/>
    <x v="4"/>
    <n v="22"/>
    <n v="80"/>
    <n v="1760"/>
    <n v="0.11"/>
    <n v="193.6"/>
    <x v="2"/>
  </r>
  <r>
    <s v="order_id = 747"/>
    <x v="9"/>
    <x v="2"/>
    <x v="2"/>
    <n v="15"/>
    <n v="230"/>
    <n v="3450"/>
    <n v="0.11"/>
    <n v="379.5"/>
    <x v="8"/>
  </r>
  <r>
    <s v="order_id = 748"/>
    <x v="9"/>
    <x v="1"/>
    <x v="1"/>
    <n v="7"/>
    <n v="40"/>
    <n v="280"/>
    <n v="0.01"/>
    <n v="2.8000000000000003"/>
    <x v="2"/>
  </r>
  <r>
    <s v="order_id = 749"/>
    <x v="9"/>
    <x v="4"/>
    <x v="4"/>
    <n v="17"/>
    <n v="150"/>
    <n v="2550"/>
    <n v="0.02"/>
    <n v="51"/>
    <x v="8"/>
  </r>
  <r>
    <s v="order_id = 750"/>
    <x v="9"/>
    <x v="4"/>
    <x v="1"/>
    <n v="22"/>
    <n v="150"/>
    <n v="3300"/>
    <n v="0.02"/>
    <n v="66"/>
    <x v="2"/>
  </r>
  <r>
    <s v="order_id = 751"/>
    <x v="9"/>
    <x v="2"/>
    <x v="2"/>
    <n v="10"/>
    <n v="230"/>
    <n v="2300"/>
    <n v="0.02"/>
    <n v="46"/>
    <x v="8"/>
  </r>
  <r>
    <s v="order_id = 752"/>
    <x v="9"/>
    <x v="1"/>
    <x v="4"/>
    <n v="21"/>
    <n v="40"/>
    <n v="840"/>
    <n v="0.01"/>
    <n v="8.4"/>
    <x v="2"/>
  </r>
  <r>
    <s v="order_id = 753"/>
    <x v="9"/>
    <x v="2"/>
    <x v="2"/>
    <n v="5"/>
    <n v="230"/>
    <n v="1150"/>
    <n v="0.1"/>
    <n v="115"/>
    <x v="8"/>
  </r>
  <r>
    <s v="order_id = 754"/>
    <x v="9"/>
    <x v="2"/>
    <x v="4"/>
    <n v="13"/>
    <n v="230"/>
    <n v="2990"/>
    <n v="0.06"/>
    <n v="179.4"/>
    <x v="2"/>
  </r>
  <r>
    <s v="order_id = 755"/>
    <x v="9"/>
    <x v="4"/>
    <x v="0"/>
    <n v="23"/>
    <n v="150"/>
    <n v="3450"/>
    <n v="0.1"/>
    <n v="345"/>
    <x v="8"/>
  </r>
  <r>
    <s v="order_id = 756"/>
    <x v="9"/>
    <x v="4"/>
    <x v="0"/>
    <n v="20"/>
    <n v="150"/>
    <n v="3000"/>
    <n v="0.03"/>
    <n v="90"/>
    <x v="2"/>
  </r>
  <r>
    <s v="order_id = 757"/>
    <x v="10"/>
    <x v="2"/>
    <x v="0"/>
    <n v="3"/>
    <n v="230"/>
    <n v="690"/>
    <n v="0.11"/>
    <n v="75.900000000000006"/>
    <x v="8"/>
  </r>
  <r>
    <s v="order_id = 758"/>
    <x v="10"/>
    <x v="4"/>
    <x v="1"/>
    <n v="16"/>
    <n v="150"/>
    <n v="2400"/>
    <n v="0.08"/>
    <n v="192"/>
    <x v="2"/>
  </r>
  <r>
    <s v="order_id = 759"/>
    <x v="10"/>
    <x v="3"/>
    <x v="4"/>
    <n v="14"/>
    <n v="16"/>
    <n v="224"/>
    <n v="0.06"/>
    <n v="13.44"/>
    <x v="8"/>
  </r>
  <r>
    <s v="order_id = 760"/>
    <x v="10"/>
    <x v="4"/>
    <x v="1"/>
    <n v="16"/>
    <n v="150"/>
    <n v="2400"/>
    <n v="0.03"/>
    <n v="72"/>
    <x v="2"/>
  </r>
  <r>
    <s v="order_id = 761"/>
    <x v="10"/>
    <x v="3"/>
    <x v="4"/>
    <n v="19"/>
    <n v="16"/>
    <n v="304"/>
    <n v="0.02"/>
    <n v="6.08"/>
    <x v="8"/>
  </r>
  <r>
    <s v="order_id = 762"/>
    <x v="10"/>
    <x v="0"/>
    <x v="4"/>
    <n v="6"/>
    <n v="80"/>
    <n v="480"/>
    <n v="0.09"/>
    <n v="43.199999999999996"/>
    <x v="2"/>
  </r>
  <r>
    <s v="order_id = 763"/>
    <x v="10"/>
    <x v="0"/>
    <x v="4"/>
    <n v="9"/>
    <n v="80"/>
    <n v="720"/>
    <n v="7.0000000000000007E-2"/>
    <n v="50.400000000000006"/>
    <x v="8"/>
  </r>
  <r>
    <s v="order_id = 764"/>
    <x v="10"/>
    <x v="4"/>
    <x v="1"/>
    <n v="20"/>
    <n v="150"/>
    <n v="3000"/>
    <n v="0.09"/>
    <n v="270"/>
    <x v="2"/>
  </r>
  <r>
    <s v="order_id = 765"/>
    <x v="10"/>
    <x v="0"/>
    <x v="2"/>
    <n v="10"/>
    <n v="80"/>
    <n v="800"/>
    <n v="0.11"/>
    <n v="88"/>
    <x v="8"/>
  </r>
  <r>
    <s v="order_id = 766"/>
    <x v="10"/>
    <x v="3"/>
    <x v="0"/>
    <n v="4"/>
    <n v="16"/>
    <n v="64"/>
    <n v="0.12"/>
    <n v="7.68"/>
    <x v="2"/>
  </r>
  <r>
    <s v="order_id = 767"/>
    <x v="10"/>
    <x v="1"/>
    <x v="4"/>
    <n v="16"/>
    <n v="40"/>
    <n v="640"/>
    <n v="0.11"/>
    <n v="70.400000000000006"/>
    <x v="8"/>
  </r>
  <r>
    <s v="order_id = 768"/>
    <x v="11"/>
    <x v="0"/>
    <x v="1"/>
    <n v="5"/>
    <n v="80"/>
    <n v="400"/>
    <n v="0.04"/>
    <n v="16"/>
    <x v="2"/>
  </r>
  <r>
    <s v="order_id = 769"/>
    <x v="11"/>
    <x v="3"/>
    <x v="2"/>
    <n v="11"/>
    <n v="16"/>
    <n v="176"/>
    <n v="0.04"/>
    <n v="7.04"/>
    <x v="8"/>
  </r>
  <r>
    <s v="order_id = 770"/>
    <x v="11"/>
    <x v="4"/>
    <x v="0"/>
    <n v="17"/>
    <n v="150"/>
    <n v="2550"/>
    <n v="0.12"/>
    <n v="306"/>
    <x v="2"/>
  </r>
  <r>
    <s v="order_id = 771"/>
    <x v="11"/>
    <x v="2"/>
    <x v="1"/>
    <n v="19"/>
    <n v="230"/>
    <n v="4370"/>
    <n v="0.11"/>
    <n v="480.7"/>
    <x v="8"/>
  </r>
  <r>
    <s v="order_id = 772"/>
    <x v="11"/>
    <x v="0"/>
    <x v="0"/>
    <n v="21"/>
    <n v="80"/>
    <n v="1680"/>
    <n v="0.04"/>
    <n v="67.2"/>
    <x v="2"/>
  </r>
  <r>
    <s v="order_id = 773"/>
    <x v="11"/>
    <x v="2"/>
    <x v="1"/>
    <n v="7"/>
    <n v="230"/>
    <n v="1610"/>
    <n v="0.01"/>
    <n v="16.100000000000001"/>
    <x v="8"/>
  </r>
  <r>
    <s v="order_id = 774"/>
    <x v="11"/>
    <x v="1"/>
    <x v="2"/>
    <n v="2"/>
    <n v="40"/>
    <n v="80"/>
    <n v="0.03"/>
    <n v="2.4"/>
    <x v="2"/>
  </r>
  <r>
    <s v="order_id = 775"/>
    <x v="11"/>
    <x v="4"/>
    <x v="0"/>
    <n v="7"/>
    <n v="150"/>
    <n v="1050"/>
    <n v="0.02"/>
    <n v="21"/>
    <x v="8"/>
  </r>
  <r>
    <s v="order_id = 776"/>
    <x v="12"/>
    <x v="0"/>
    <x v="2"/>
    <n v="16"/>
    <n v="80"/>
    <n v="1280"/>
    <n v="0.04"/>
    <n v="51.2"/>
    <x v="2"/>
  </r>
  <r>
    <s v="order_id = 777"/>
    <x v="12"/>
    <x v="1"/>
    <x v="1"/>
    <n v="4"/>
    <n v="40"/>
    <n v="160"/>
    <n v="0.12"/>
    <n v="19.2"/>
    <x v="8"/>
  </r>
  <r>
    <s v="order_id = 778"/>
    <x v="12"/>
    <x v="3"/>
    <x v="0"/>
    <n v="22"/>
    <n v="16"/>
    <n v="352"/>
    <n v="0.01"/>
    <n v="3.52"/>
    <x v="2"/>
  </r>
  <r>
    <s v="order_id = 779"/>
    <x v="12"/>
    <x v="1"/>
    <x v="3"/>
    <n v="18"/>
    <n v="40"/>
    <n v="720"/>
    <n v="0.06"/>
    <n v="43.199999999999996"/>
    <x v="8"/>
  </r>
  <r>
    <s v="order_id = 780"/>
    <x v="12"/>
    <x v="0"/>
    <x v="2"/>
    <n v="6"/>
    <n v="80"/>
    <n v="480"/>
    <n v="0.01"/>
    <n v="4.8"/>
    <x v="2"/>
  </r>
  <r>
    <s v="order_id = 781"/>
    <x v="12"/>
    <x v="2"/>
    <x v="2"/>
    <n v="2"/>
    <n v="230"/>
    <n v="460"/>
    <n v="0.09"/>
    <n v="41.4"/>
    <x v="8"/>
  </r>
  <r>
    <s v="order_id = 782"/>
    <x v="13"/>
    <x v="4"/>
    <x v="4"/>
    <n v="11"/>
    <n v="150"/>
    <n v="1650"/>
    <n v="0.09"/>
    <n v="148.5"/>
    <x v="2"/>
  </r>
  <r>
    <s v="order_id = 783"/>
    <x v="13"/>
    <x v="4"/>
    <x v="3"/>
    <n v="15"/>
    <n v="150"/>
    <n v="2250"/>
    <n v="0.08"/>
    <n v="180"/>
    <x v="8"/>
  </r>
  <r>
    <s v="order_id = 784"/>
    <x v="13"/>
    <x v="0"/>
    <x v="0"/>
    <n v="17"/>
    <n v="80"/>
    <n v="1360"/>
    <n v="0.09"/>
    <n v="122.39999999999999"/>
    <x v="2"/>
  </r>
  <r>
    <s v="order_id = 785"/>
    <x v="13"/>
    <x v="4"/>
    <x v="4"/>
    <n v="13"/>
    <n v="150"/>
    <n v="1950"/>
    <n v="0.11"/>
    <n v="214.5"/>
    <x v="8"/>
  </r>
  <r>
    <s v="order_id = 786"/>
    <x v="13"/>
    <x v="1"/>
    <x v="3"/>
    <n v="7"/>
    <n v="40"/>
    <n v="280"/>
    <n v="7.0000000000000007E-2"/>
    <n v="19.600000000000001"/>
    <x v="2"/>
  </r>
  <r>
    <s v="order_id = 787"/>
    <x v="13"/>
    <x v="2"/>
    <x v="3"/>
    <n v="3"/>
    <n v="230"/>
    <n v="690"/>
    <n v="0.01"/>
    <n v="6.9"/>
    <x v="8"/>
  </r>
  <r>
    <s v="order_id = 788"/>
    <x v="13"/>
    <x v="1"/>
    <x v="2"/>
    <n v="12"/>
    <n v="40"/>
    <n v="480"/>
    <n v="0.02"/>
    <n v="9.6"/>
    <x v="2"/>
  </r>
  <r>
    <s v="order_id = 789"/>
    <x v="13"/>
    <x v="4"/>
    <x v="2"/>
    <n v="11"/>
    <n v="150"/>
    <n v="1650"/>
    <n v="0.11"/>
    <n v="181.5"/>
    <x v="8"/>
  </r>
  <r>
    <s v="order_id = 790"/>
    <x v="13"/>
    <x v="1"/>
    <x v="1"/>
    <n v="21"/>
    <n v="40"/>
    <n v="840"/>
    <n v="0.03"/>
    <n v="25.2"/>
    <x v="2"/>
  </r>
  <r>
    <s v="order_id = 791"/>
    <x v="13"/>
    <x v="4"/>
    <x v="0"/>
    <n v="22"/>
    <n v="150"/>
    <n v="3300"/>
    <n v="7.0000000000000007E-2"/>
    <n v="231.00000000000003"/>
    <x v="8"/>
  </r>
  <r>
    <s v="order_id = 792"/>
    <x v="13"/>
    <x v="1"/>
    <x v="2"/>
    <n v="20"/>
    <n v="40"/>
    <n v="800"/>
    <n v="0.01"/>
    <n v="8"/>
    <x v="2"/>
  </r>
  <r>
    <s v="order_id = 793"/>
    <x v="14"/>
    <x v="3"/>
    <x v="4"/>
    <n v="22"/>
    <n v="16"/>
    <n v="352"/>
    <n v="0.12"/>
    <n v="42.239999999999995"/>
    <x v="8"/>
  </r>
  <r>
    <s v="order_id = 794"/>
    <x v="14"/>
    <x v="1"/>
    <x v="2"/>
    <n v="4"/>
    <n v="40"/>
    <n v="160"/>
    <n v="0.1"/>
    <n v="16"/>
    <x v="2"/>
  </r>
  <r>
    <s v="order_id = 795"/>
    <x v="14"/>
    <x v="2"/>
    <x v="3"/>
    <n v="2"/>
    <n v="230"/>
    <n v="460"/>
    <n v="0.09"/>
    <n v="41.4"/>
    <x v="8"/>
  </r>
  <r>
    <s v="order_id = 796"/>
    <x v="14"/>
    <x v="1"/>
    <x v="0"/>
    <n v="22"/>
    <n v="40"/>
    <n v="880"/>
    <n v="0.02"/>
    <n v="17.600000000000001"/>
    <x v="2"/>
  </r>
  <r>
    <s v="order_id = 797"/>
    <x v="14"/>
    <x v="1"/>
    <x v="1"/>
    <n v="4"/>
    <n v="40"/>
    <n v="160"/>
    <n v="0.03"/>
    <n v="4.8"/>
    <x v="8"/>
  </r>
  <r>
    <s v="order_id = 798"/>
    <x v="14"/>
    <x v="3"/>
    <x v="1"/>
    <n v="5"/>
    <n v="16"/>
    <n v="80"/>
    <n v="0.11"/>
    <n v="8.8000000000000007"/>
    <x v="2"/>
  </r>
  <r>
    <s v="order_id = 799"/>
    <x v="14"/>
    <x v="0"/>
    <x v="3"/>
    <n v="2"/>
    <n v="80"/>
    <n v="160"/>
    <n v="0.08"/>
    <n v="12.8"/>
    <x v="8"/>
  </r>
  <r>
    <s v="order_id = 800"/>
    <x v="14"/>
    <x v="3"/>
    <x v="2"/>
    <n v="9"/>
    <n v="16"/>
    <n v="144"/>
    <n v="0.05"/>
    <n v="7.2"/>
    <x v="2"/>
  </r>
  <r>
    <s v="order_id = 801"/>
    <x v="14"/>
    <x v="2"/>
    <x v="2"/>
    <n v="6"/>
    <n v="230"/>
    <n v="1380"/>
    <n v="0.05"/>
    <n v="69"/>
    <x v="8"/>
  </r>
  <r>
    <s v="order_id = 802"/>
    <x v="14"/>
    <x v="4"/>
    <x v="3"/>
    <n v="22"/>
    <n v="150"/>
    <n v="3300"/>
    <n v="0.05"/>
    <n v="165"/>
    <x v="2"/>
  </r>
  <r>
    <s v="order_id = 803"/>
    <x v="15"/>
    <x v="2"/>
    <x v="3"/>
    <n v="8"/>
    <n v="230"/>
    <n v="1840"/>
    <n v="0.01"/>
    <n v="18.400000000000002"/>
    <x v="8"/>
  </r>
  <r>
    <s v="order_id = 804"/>
    <x v="15"/>
    <x v="4"/>
    <x v="0"/>
    <n v="22"/>
    <n v="150"/>
    <n v="3300"/>
    <n v="0.05"/>
    <n v="165"/>
    <x v="2"/>
  </r>
  <r>
    <s v="order_id = 805"/>
    <x v="15"/>
    <x v="1"/>
    <x v="0"/>
    <n v="5"/>
    <n v="40"/>
    <n v="200"/>
    <n v="0.06"/>
    <n v="12"/>
    <x v="8"/>
  </r>
  <r>
    <s v="order_id = 806"/>
    <x v="15"/>
    <x v="4"/>
    <x v="3"/>
    <n v="20"/>
    <n v="150"/>
    <n v="3000"/>
    <n v="0.1"/>
    <n v="300"/>
    <x v="2"/>
  </r>
  <r>
    <s v="order_id = 807"/>
    <x v="15"/>
    <x v="0"/>
    <x v="3"/>
    <n v="22"/>
    <n v="80"/>
    <n v="1760"/>
    <n v="0.03"/>
    <n v="52.8"/>
    <x v="8"/>
  </r>
  <r>
    <s v="order_id = 808"/>
    <x v="15"/>
    <x v="3"/>
    <x v="0"/>
    <n v="11"/>
    <n v="16"/>
    <n v="176"/>
    <n v="0.09"/>
    <n v="15.84"/>
    <x v="2"/>
  </r>
  <r>
    <s v="order_id = 809"/>
    <x v="15"/>
    <x v="3"/>
    <x v="1"/>
    <n v="22"/>
    <n v="16"/>
    <n v="352"/>
    <n v="0.01"/>
    <n v="3.52"/>
    <x v="8"/>
  </r>
  <r>
    <s v="order_id = 810"/>
    <x v="15"/>
    <x v="1"/>
    <x v="1"/>
    <n v="23"/>
    <n v="40"/>
    <n v="920"/>
    <n v="0.06"/>
    <n v="55.199999999999996"/>
    <x v="2"/>
  </r>
  <r>
    <s v="order_id = 811"/>
    <x v="15"/>
    <x v="0"/>
    <x v="2"/>
    <n v="14"/>
    <n v="80"/>
    <n v="1120"/>
    <n v="0.1"/>
    <n v="112"/>
    <x v="8"/>
  </r>
  <r>
    <s v="order_id = 812"/>
    <x v="15"/>
    <x v="1"/>
    <x v="0"/>
    <n v="18"/>
    <n v="40"/>
    <n v="720"/>
    <n v="0.06"/>
    <n v="43.199999999999996"/>
    <x v="2"/>
  </r>
  <r>
    <s v="order_id = 813"/>
    <x v="16"/>
    <x v="4"/>
    <x v="3"/>
    <n v="7"/>
    <n v="150"/>
    <n v="1050"/>
    <n v="0.05"/>
    <n v="52.5"/>
    <x v="1"/>
  </r>
  <r>
    <s v="order_id = 814"/>
    <x v="16"/>
    <x v="1"/>
    <x v="3"/>
    <n v="15"/>
    <n v="40"/>
    <n v="600"/>
    <n v="0.03"/>
    <n v="18"/>
    <x v="2"/>
  </r>
  <r>
    <s v="order_id = 815"/>
    <x v="16"/>
    <x v="3"/>
    <x v="0"/>
    <n v="7"/>
    <n v="16"/>
    <n v="112"/>
    <n v="0.02"/>
    <n v="2.2400000000000002"/>
    <x v="3"/>
  </r>
  <r>
    <s v="order_id = 816"/>
    <x v="16"/>
    <x v="3"/>
    <x v="3"/>
    <n v="15"/>
    <n v="16"/>
    <n v="240"/>
    <n v="0.12"/>
    <n v="28.799999999999997"/>
    <x v="4"/>
  </r>
  <r>
    <s v="order_id = 817"/>
    <x v="16"/>
    <x v="1"/>
    <x v="0"/>
    <n v="5"/>
    <n v="40"/>
    <n v="200"/>
    <n v="0.09"/>
    <n v="18"/>
    <x v="5"/>
  </r>
  <r>
    <s v="order_id = 818"/>
    <x v="16"/>
    <x v="1"/>
    <x v="4"/>
    <n v="20"/>
    <n v="40"/>
    <n v="800"/>
    <n v="0.03"/>
    <n v="24"/>
    <x v="6"/>
  </r>
  <r>
    <s v="order_id = 819"/>
    <x v="16"/>
    <x v="2"/>
    <x v="3"/>
    <n v="11"/>
    <n v="230"/>
    <n v="2530"/>
    <n v="0.12"/>
    <n v="303.59999999999997"/>
    <x v="7"/>
  </r>
  <r>
    <s v="order_id = 820"/>
    <x v="16"/>
    <x v="3"/>
    <x v="4"/>
    <n v="17"/>
    <n v="16"/>
    <n v="272"/>
    <n v="0.08"/>
    <n v="21.76"/>
    <x v="8"/>
  </r>
  <r>
    <s v="order_id = 821"/>
    <x v="17"/>
    <x v="3"/>
    <x v="0"/>
    <n v="18"/>
    <n v="16"/>
    <n v="288"/>
    <n v="0.11"/>
    <n v="31.68"/>
    <x v="9"/>
  </r>
  <r>
    <s v="order_id = 822"/>
    <x v="17"/>
    <x v="2"/>
    <x v="3"/>
    <n v="2"/>
    <n v="230"/>
    <n v="460"/>
    <n v="0.08"/>
    <n v="36.800000000000004"/>
    <x v="10"/>
  </r>
  <r>
    <s v="order_id = 823"/>
    <x v="17"/>
    <x v="3"/>
    <x v="2"/>
    <n v="17"/>
    <n v="16"/>
    <n v="272"/>
    <n v="0.05"/>
    <n v="13.600000000000001"/>
    <x v="11"/>
  </r>
  <r>
    <s v="order_id = 824"/>
    <x v="17"/>
    <x v="0"/>
    <x v="3"/>
    <n v="16"/>
    <n v="80"/>
    <n v="1280"/>
    <n v="0.05"/>
    <n v="64"/>
    <x v="0"/>
  </r>
  <r>
    <s v="order_id = 825"/>
    <x v="17"/>
    <x v="2"/>
    <x v="1"/>
    <n v="14"/>
    <n v="230"/>
    <n v="3220"/>
    <n v="0.05"/>
    <n v="161"/>
    <x v="1"/>
  </r>
  <r>
    <s v="order_id = 826"/>
    <x v="17"/>
    <x v="1"/>
    <x v="2"/>
    <n v="13"/>
    <n v="40"/>
    <n v="520"/>
    <n v="0.02"/>
    <n v="10.4"/>
    <x v="2"/>
  </r>
  <r>
    <s v="order_id = 827"/>
    <x v="17"/>
    <x v="2"/>
    <x v="1"/>
    <n v="7"/>
    <n v="230"/>
    <n v="1610"/>
    <n v="0.08"/>
    <n v="128.80000000000001"/>
    <x v="3"/>
  </r>
  <r>
    <s v="order_id = 828"/>
    <x v="17"/>
    <x v="1"/>
    <x v="3"/>
    <n v="7"/>
    <n v="40"/>
    <n v="280"/>
    <n v="0.11"/>
    <n v="30.8"/>
    <x v="4"/>
  </r>
  <r>
    <s v="order_id = 829"/>
    <x v="17"/>
    <x v="2"/>
    <x v="2"/>
    <n v="12"/>
    <n v="230"/>
    <n v="2760"/>
    <n v="0.06"/>
    <n v="165.6"/>
    <x v="5"/>
  </r>
  <r>
    <s v="order_id = 830"/>
    <x v="17"/>
    <x v="1"/>
    <x v="0"/>
    <n v="19"/>
    <n v="40"/>
    <n v="760"/>
    <n v="0.04"/>
    <n v="30.400000000000002"/>
    <x v="1"/>
  </r>
  <r>
    <s v="order_id = 831"/>
    <x v="18"/>
    <x v="2"/>
    <x v="2"/>
    <n v="20"/>
    <n v="230"/>
    <n v="4600"/>
    <n v="0.06"/>
    <n v="276"/>
    <x v="2"/>
  </r>
  <r>
    <s v="order_id = 832"/>
    <x v="18"/>
    <x v="1"/>
    <x v="4"/>
    <n v="23"/>
    <n v="40"/>
    <n v="920"/>
    <n v="0.04"/>
    <n v="36.800000000000004"/>
    <x v="3"/>
  </r>
  <r>
    <s v="order_id = 833"/>
    <x v="18"/>
    <x v="0"/>
    <x v="4"/>
    <n v="16"/>
    <n v="80"/>
    <n v="1280"/>
    <n v="0.05"/>
    <n v="64"/>
    <x v="4"/>
  </r>
  <r>
    <s v="order_id = 834"/>
    <x v="18"/>
    <x v="4"/>
    <x v="1"/>
    <n v="23"/>
    <n v="150"/>
    <n v="3450"/>
    <n v="0.11"/>
    <n v="379.5"/>
    <x v="5"/>
  </r>
  <r>
    <s v="order_id = 835"/>
    <x v="18"/>
    <x v="3"/>
    <x v="1"/>
    <n v="4"/>
    <n v="16"/>
    <n v="64"/>
    <n v="7.0000000000000007E-2"/>
    <n v="4.4800000000000004"/>
    <x v="6"/>
  </r>
  <r>
    <s v="order_id = 836"/>
    <x v="18"/>
    <x v="2"/>
    <x v="0"/>
    <n v="8"/>
    <n v="230"/>
    <n v="1840"/>
    <n v="0.03"/>
    <n v="55.199999999999996"/>
    <x v="7"/>
  </r>
  <r>
    <s v="order_id = 837"/>
    <x v="18"/>
    <x v="0"/>
    <x v="1"/>
    <n v="17"/>
    <n v="80"/>
    <n v="1360"/>
    <n v="0.03"/>
    <n v="40.799999999999997"/>
    <x v="8"/>
  </r>
  <r>
    <s v="order_id = 838"/>
    <x v="18"/>
    <x v="0"/>
    <x v="3"/>
    <n v="10"/>
    <n v="80"/>
    <n v="800"/>
    <n v="0.1"/>
    <n v="80"/>
    <x v="9"/>
  </r>
  <r>
    <s v="order_id = 839"/>
    <x v="18"/>
    <x v="3"/>
    <x v="0"/>
    <n v="20"/>
    <n v="16"/>
    <n v="320"/>
    <n v="0.11"/>
    <n v="35.200000000000003"/>
    <x v="10"/>
  </r>
  <r>
    <s v="order_id = 840"/>
    <x v="19"/>
    <x v="2"/>
    <x v="3"/>
    <n v="19"/>
    <n v="230"/>
    <n v="4370"/>
    <n v="0.06"/>
    <n v="262.2"/>
    <x v="11"/>
  </r>
  <r>
    <s v="order_id = 841"/>
    <x v="19"/>
    <x v="1"/>
    <x v="2"/>
    <n v="18"/>
    <n v="40"/>
    <n v="720"/>
    <n v="0.03"/>
    <n v="21.599999999999998"/>
    <x v="0"/>
  </r>
  <r>
    <s v="order_id = 842"/>
    <x v="19"/>
    <x v="0"/>
    <x v="1"/>
    <n v="16"/>
    <n v="80"/>
    <n v="1280"/>
    <n v="0.04"/>
    <n v="51.2"/>
    <x v="1"/>
  </r>
  <r>
    <s v="order_id = 843"/>
    <x v="19"/>
    <x v="0"/>
    <x v="3"/>
    <n v="8"/>
    <n v="80"/>
    <n v="640"/>
    <n v="0.06"/>
    <n v="38.4"/>
    <x v="2"/>
  </r>
  <r>
    <s v="order_id = 844"/>
    <x v="19"/>
    <x v="4"/>
    <x v="3"/>
    <n v="4"/>
    <n v="150"/>
    <n v="600"/>
    <n v="0.12"/>
    <n v="72"/>
    <x v="3"/>
  </r>
  <r>
    <s v="order_id = 845"/>
    <x v="19"/>
    <x v="2"/>
    <x v="2"/>
    <n v="15"/>
    <n v="230"/>
    <n v="3450"/>
    <n v="0.04"/>
    <n v="138"/>
    <x v="4"/>
  </r>
  <r>
    <s v="order_id = 846"/>
    <x v="20"/>
    <x v="3"/>
    <x v="1"/>
    <n v="7"/>
    <n v="16"/>
    <n v="112"/>
    <n v="0.08"/>
    <n v="8.9600000000000009"/>
    <x v="5"/>
  </r>
  <r>
    <s v="order_id = 847"/>
    <x v="20"/>
    <x v="1"/>
    <x v="0"/>
    <n v="18"/>
    <n v="40"/>
    <n v="720"/>
    <n v="0.11"/>
    <n v="79.2"/>
    <x v="1"/>
  </r>
  <r>
    <s v="order_id = 848"/>
    <x v="20"/>
    <x v="1"/>
    <x v="2"/>
    <n v="4"/>
    <n v="40"/>
    <n v="160"/>
    <n v="0.06"/>
    <n v="9.6"/>
    <x v="2"/>
  </r>
  <r>
    <s v="order_id = 849"/>
    <x v="20"/>
    <x v="1"/>
    <x v="4"/>
    <n v="16"/>
    <n v="40"/>
    <n v="640"/>
    <n v="0.09"/>
    <n v="57.599999999999994"/>
    <x v="3"/>
  </r>
  <r>
    <s v="order_id = 850"/>
    <x v="20"/>
    <x v="1"/>
    <x v="1"/>
    <n v="18"/>
    <n v="40"/>
    <n v="720"/>
    <n v="0.08"/>
    <n v="57.6"/>
    <x v="4"/>
  </r>
  <r>
    <s v="order_id = 851"/>
    <x v="20"/>
    <x v="1"/>
    <x v="0"/>
    <n v="9"/>
    <n v="40"/>
    <n v="360"/>
    <n v="0.01"/>
    <n v="3.6"/>
    <x v="5"/>
  </r>
  <r>
    <s v="order_id = 852"/>
    <x v="20"/>
    <x v="2"/>
    <x v="3"/>
    <n v="16"/>
    <n v="230"/>
    <n v="3680"/>
    <n v="0.11"/>
    <n v="404.8"/>
    <x v="6"/>
  </r>
  <r>
    <s v="order_id = 853"/>
    <x v="20"/>
    <x v="3"/>
    <x v="2"/>
    <n v="12"/>
    <n v="16"/>
    <n v="192"/>
    <n v="0.11"/>
    <n v="21.12"/>
    <x v="7"/>
  </r>
  <r>
    <s v="order_id = 854"/>
    <x v="20"/>
    <x v="0"/>
    <x v="1"/>
    <n v="2"/>
    <n v="80"/>
    <n v="160"/>
    <n v="7.0000000000000007E-2"/>
    <n v="11.200000000000001"/>
    <x v="8"/>
  </r>
  <r>
    <s v="order_id = 855"/>
    <x v="20"/>
    <x v="1"/>
    <x v="0"/>
    <n v="2"/>
    <n v="40"/>
    <n v="80"/>
    <n v="0.12"/>
    <n v="9.6"/>
    <x v="9"/>
  </r>
  <r>
    <s v="order_id = 856"/>
    <x v="21"/>
    <x v="4"/>
    <x v="0"/>
    <n v="13"/>
    <n v="150"/>
    <n v="1950"/>
    <n v="0.05"/>
    <n v="97.5"/>
    <x v="10"/>
  </r>
  <r>
    <s v="order_id = 857"/>
    <x v="21"/>
    <x v="0"/>
    <x v="0"/>
    <n v="14"/>
    <n v="80"/>
    <n v="1120"/>
    <n v="0.08"/>
    <n v="89.600000000000009"/>
    <x v="11"/>
  </r>
  <r>
    <s v="order_id = 858"/>
    <x v="21"/>
    <x v="4"/>
    <x v="3"/>
    <n v="6"/>
    <n v="150"/>
    <n v="900"/>
    <n v="0.03"/>
    <n v="27"/>
    <x v="0"/>
  </r>
  <r>
    <s v="order_id = 859"/>
    <x v="21"/>
    <x v="0"/>
    <x v="3"/>
    <n v="23"/>
    <n v="80"/>
    <n v="1840"/>
    <n v="0.11"/>
    <n v="202.4"/>
    <x v="1"/>
  </r>
  <r>
    <s v="order_id = 860"/>
    <x v="21"/>
    <x v="0"/>
    <x v="3"/>
    <n v="21"/>
    <n v="80"/>
    <n v="1680"/>
    <n v="0.05"/>
    <n v="84"/>
    <x v="2"/>
  </r>
  <r>
    <s v="order_id = 861"/>
    <x v="21"/>
    <x v="3"/>
    <x v="2"/>
    <n v="3"/>
    <n v="16"/>
    <n v="48"/>
    <n v="0.05"/>
    <n v="2.4000000000000004"/>
    <x v="3"/>
  </r>
  <r>
    <s v="order_id = 862"/>
    <x v="21"/>
    <x v="3"/>
    <x v="1"/>
    <n v="21"/>
    <n v="16"/>
    <n v="336"/>
    <n v="0.02"/>
    <n v="6.72"/>
    <x v="4"/>
  </r>
  <r>
    <s v="order_id = 863"/>
    <x v="21"/>
    <x v="0"/>
    <x v="3"/>
    <n v="4"/>
    <n v="80"/>
    <n v="320"/>
    <n v="0.11"/>
    <n v="35.200000000000003"/>
    <x v="5"/>
  </r>
  <r>
    <s v="order_id = 864"/>
    <x v="21"/>
    <x v="4"/>
    <x v="4"/>
    <n v="23"/>
    <n v="150"/>
    <n v="3450"/>
    <n v="0.08"/>
    <n v="276"/>
    <x v="1"/>
  </r>
  <r>
    <s v="order_id = 865"/>
    <x v="21"/>
    <x v="3"/>
    <x v="4"/>
    <n v="23"/>
    <n v="16"/>
    <n v="368"/>
    <n v="0.01"/>
    <n v="3.68"/>
    <x v="2"/>
  </r>
  <r>
    <s v="order_id = 866"/>
    <x v="21"/>
    <x v="1"/>
    <x v="3"/>
    <n v="22"/>
    <n v="40"/>
    <n v="880"/>
    <n v="0.01"/>
    <n v="8.8000000000000007"/>
    <x v="3"/>
  </r>
  <r>
    <s v="order_id = 867"/>
    <x v="22"/>
    <x v="4"/>
    <x v="0"/>
    <n v="8"/>
    <n v="150"/>
    <n v="1200"/>
    <n v="0.09"/>
    <n v="108"/>
    <x v="4"/>
  </r>
  <r>
    <s v="order_id = 868"/>
    <x v="22"/>
    <x v="4"/>
    <x v="0"/>
    <n v="20"/>
    <n v="150"/>
    <n v="3000"/>
    <n v="0.01"/>
    <n v="30"/>
    <x v="5"/>
  </r>
  <r>
    <s v="order_id = 869"/>
    <x v="22"/>
    <x v="2"/>
    <x v="1"/>
    <n v="22"/>
    <n v="230"/>
    <n v="5060"/>
    <n v="0.11"/>
    <n v="556.6"/>
    <x v="6"/>
  </r>
  <r>
    <s v="order_id = 870"/>
    <x v="22"/>
    <x v="3"/>
    <x v="2"/>
    <n v="23"/>
    <n v="16"/>
    <n v="368"/>
    <n v="0.11"/>
    <n v="40.479999999999997"/>
    <x v="7"/>
  </r>
  <r>
    <s v="order_id = 871"/>
    <x v="22"/>
    <x v="0"/>
    <x v="0"/>
    <n v="6"/>
    <n v="80"/>
    <n v="480"/>
    <n v="0.01"/>
    <n v="4.8"/>
    <x v="8"/>
  </r>
  <r>
    <s v="order_id = 872"/>
    <x v="22"/>
    <x v="3"/>
    <x v="0"/>
    <n v="7"/>
    <n v="16"/>
    <n v="112"/>
    <n v="0.12"/>
    <n v="13.44"/>
    <x v="9"/>
  </r>
  <r>
    <s v="order_id = 873"/>
    <x v="22"/>
    <x v="0"/>
    <x v="1"/>
    <n v="10"/>
    <n v="80"/>
    <n v="800"/>
    <n v="0.11"/>
    <n v="88"/>
    <x v="10"/>
  </r>
  <r>
    <s v="order_id = 874"/>
    <x v="22"/>
    <x v="2"/>
    <x v="0"/>
    <n v="9"/>
    <n v="230"/>
    <n v="2070"/>
    <n v="7.0000000000000007E-2"/>
    <n v="144.9"/>
    <x v="11"/>
  </r>
  <r>
    <s v="order_id = 875"/>
    <x v="23"/>
    <x v="1"/>
    <x v="1"/>
    <n v="12"/>
    <n v="40"/>
    <n v="480"/>
    <n v="0.1"/>
    <n v="48"/>
    <x v="0"/>
  </r>
  <r>
    <s v="order_id = 876"/>
    <x v="23"/>
    <x v="3"/>
    <x v="4"/>
    <n v="17"/>
    <n v="16"/>
    <n v="272"/>
    <n v="0.1"/>
    <n v="27.200000000000003"/>
    <x v="1"/>
  </r>
  <r>
    <s v="order_id = 877"/>
    <x v="23"/>
    <x v="4"/>
    <x v="2"/>
    <n v="22"/>
    <n v="150"/>
    <n v="3300"/>
    <n v="0.04"/>
    <n v="132"/>
    <x v="2"/>
  </r>
  <r>
    <s v="order_id = 878"/>
    <x v="23"/>
    <x v="4"/>
    <x v="2"/>
    <n v="11"/>
    <n v="150"/>
    <n v="1650"/>
    <n v="0.05"/>
    <n v="82.5"/>
    <x v="3"/>
  </r>
  <r>
    <s v="order_id = 879"/>
    <x v="23"/>
    <x v="0"/>
    <x v="4"/>
    <n v="9"/>
    <n v="80"/>
    <n v="720"/>
    <n v="0.02"/>
    <n v="14.4"/>
    <x v="4"/>
  </r>
  <r>
    <s v="order_id = 880"/>
    <x v="23"/>
    <x v="0"/>
    <x v="4"/>
    <n v="13"/>
    <n v="80"/>
    <n v="1040"/>
    <n v="0.05"/>
    <n v="52"/>
    <x v="5"/>
  </r>
  <r>
    <s v="order_id = 881"/>
    <x v="23"/>
    <x v="1"/>
    <x v="4"/>
    <n v="20"/>
    <n v="40"/>
    <n v="800"/>
    <n v="0.1"/>
    <n v="80"/>
    <x v="1"/>
  </r>
  <r>
    <s v="order_id = 882"/>
    <x v="23"/>
    <x v="1"/>
    <x v="1"/>
    <n v="15"/>
    <n v="40"/>
    <n v="600"/>
    <n v="0.02"/>
    <n v="12"/>
    <x v="2"/>
  </r>
  <r>
    <s v="order_id = 883"/>
    <x v="24"/>
    <x v="4"/>
    <x v="4"/>
    <n v="15"/>
    <n v="150"/>
    <n v="2250"/>
    <n v="7.0000000000000007E-2"/>
    <n v="157.50000000000003"/>
    <x v="3"/>
  </r>
  <r>
    <s v="order_id = 884"/>
    <x v="24"/>
    <x v="0"/>
    <x v="4"/>
    <n v="16"/>
    <n v="80"/>
    <n v="1280"/>
    <n v="0.09"/>
    <n v="115.19999999999999"/>
    <x v="4"/>
  </r>
  <r>
    <s v="order_id = 885"/>
    <x v="24"/>
    <x v="2"/>
    <x v="0"/>
    <n v="16"/>
    <n v="230"/>
    <n v="3680"/>
    <n v="7.0000000000000007E-2"/>
    <n v="257.60000000000002"/>
    <x v="5"/>
  </r>
  <r>
    <s v="order_id = 886"/>
    <x v="24"/>
    <x v="0"/>
    <x v="1"/>
    <n v="14"/>
    <n v="80"/>
    <n v="1120"/>
    <n v="0.11"/>
    <n v="123.2"/>
    <x v="6"/>
  </r>
  <r>
    <s v="order_id = 887"/>
    <x v="24"/>
    <x v="0"/>
    <x v="4"/>
    <n v="17"/>
    <n v="80"/>
    <n v="1360"/>
    <n v="7.0000000000000007E-2"/>
    <n v="95.2"/>
    <x v="7"/>
  </r>
  <r>
    <s v="order_id = 888"/>
    <x v="24"/>
    <x v="0"/>
    <x v="2"/>
    <n v="16"/>
    <n v="80"/>
    <n v="1280"/>
    <n v="0.02"/>
    <n v="25.6"/>
    <x v="8"/>
  </r>
  <r>
    <s v="order_id = 889"/>
    <x v="24"/>
    <x v="3"/>
    <x v="0"/>
    <n v="21"/>
    <n v="16"/>
    <n v="336"/>
    <n v="0.09"/>
    <n v="30.24"/>
    <x v="9"/>
  </r>
  <r>
    <s v="order_id = 890"/>
    <x v="24"/>
    <x v="4"/>
    <x v="0"/>
    <n v="9"/>
    <n v="150"/>
    <n v="1350"/>
    <n v="0.1"/>
    <n v="135"/>
    <x v="10"/>
  </r>
  <r>
    <s v="order_id = 891"/>
    <x v="24"/>
    <x v="4"/>
    <x v="3"/>
    <n v="3"/>
    <n v="150"/>
    <n v="450"/>
    <n v="0.01"/>
    <n v="4.5"/>
    <x v="11"/>
  </r>
  <r>
    <s v="order_id = 892"/>
    <x v="25"/>
    <x v="0"/>
    <x v="1"/>
    <n v="14"/>
    <n v="80"/>
    <n v="1120"/>
    <n v="0.06"/>
    <n v="67.2"/>
    <x v="0"/>
  </r>
  <r>
    <s v="order_id = 893"/>
    <x v="25"/>
    <x v="4"/>
    <x v="4"/>
    <n v="4"/>
    <n v="150"/>
    <n v="600"/>
    <n v="0.05"/>
    <n v="30"/>
    <x v="1"/>
  </r>
  <r>
    <s v="order_id = 894"/>
    <x v="25"/>
    <x v="3"/>
    <x v="1"/>
    <n v="20"/>
    <n v="16"/>
    <n v="320"/>
    <n v="0.06"/>
    <n v="19.2"/>
    <x v="2"/>
  </r>
  <r>
    <s v="order_id = 895"/>
    <x v="25"/>
    <x v="2"/>
    <x v="2"/>
    <n v="7"/>
    <n v="230"/>
    <n v="1610"/>
    <n v="0.01"/>
    <n v="16.100000000000001"/>
    <x v="3"/>
  </r>
  <r>
    <s v="order_id = 896"/>
    <x v="25"/>
    <x v="0"/>
    <x v="1"/>
    <n v="9"/>
    <n v="80"/>
    <n v="720"/>
    <n v="0.03"/>
    <n v="21.599999999999998"/>
    <x v="4"/>
  </r>
  <r>
    <s v="order_id = 897"/>
    <x v="25"/>
    <x v="1"/>
    <x v="3"/>
    <n v="4"/>
    <n v="40"/>
    <n v="160"/>
    <n v="0.05"/>
    <n v="8"/>
    <x v="5"/>
  </r>
  <r>
    <s v="order_id = 898"/>
    <x v="25"/>
    <x v="0"/>
    <x v="0"/>
    <n v="6"/>
    <n v="80"/>
    <n v="480"/>
    <n v="7.0000000000000007E-2"/>
    <n v="33.6"/>
    <x v="1"/>
  </r>
  <r>
    <s v="order_id = 899"/>
    <x v="25"/>
    <x v="3"/>
    <x v="2"/>
    <n v="8"/>
    <n v="16"/>
    <n v="128"/>
    <n v="0.03"/>
    <n v="3.84"/>
    <x v="2"/>
  </r>
  <r>
    <s v="order_id = 900"/>
    <x v="25"/>
    <x v="3"/>
    <x v="0"/>
    <n v="10"/>
    <n v="16"/>
    <n v="160"/>
    <n v="0.08"/>
    <n v="12.8"/>
    <x v="3"/>
  </r>
  <r>
    <s v="order_id = 901"/>
    <x v="25"/>
    <x v="3"/>
    <x v="3"/>
    <n v="22"/>
    <n v="16"/>
    <n v="352"/>
    <n v="0.03"/>
    <n v="10.559999999999999"/>
    <x v="4"/>
  </r>
  <r>
    <s v="order_id = 902"/>
    <x v="25"/>
    <x v="0"/>
    <x v="3"/>
    <n v="11"/>
    <n v="80"/>
    <n v="880"/>
    <n v="0.01"/>
    <n v="8.8000000000000007"/>
    <x v="5"/>
  </r>
  <r>
    <s v="order_id = 903"/>
    <x v="25"/>
    <x v="3"/>
    <x v="3"/>
    <n v="7"/>
    <n v="16"/>
    <n v="112"/>
    <n v="0.08"/>
    <n v="8.9600000000000009"/>
    <x v="6"/>
  </r>
  <r>
    <s v="order_id = 904"/>
    <x v="26"/>
    <x v="3"/>
    <x v="2"/>
    <n v="11"/>
    <n v="16"/>
    <n v="176"/>
    <n v="0.12"/>
    <n v="21.119999999999997"/>
    <x v="7"/>
  </r>
  <r>
    <s v="order_id = 905"/>
    <x v="26"/>
    <x v="1"/>
    <x v="4"/>
    <n v="7"/>
    <n v="40"/>
    <n v="280"/>
    <n v="0.05"/>
    <n v="14"/>
    <x v="8"/>
  </r>
  <r>
    <s v="order_id = 906"/>
    <x v="26"/>
    <x v="4"/>
    <x v="2"/>
    <n v="9"/>
    <n v="150"/>
    <n v="1350"/>
    <n v="0.06"/>
    <n v="81"/>
    <x v="9"/>
  </r>
  <r>
    <s v="order_id = 907"/>
    <x v="26"/>
    <x v="2"/>
    <x v="0"/>
    <n v="20"/>
    <n v="230"/>
    <n v="4600"/>
    <n v="0.04"/>
    <n v="184"/>
    <x v="10"/>
  </r>
  <r>
    <s v="order_id = 908"/>
    <x v="26"/>
    <x v="4"/>
    <x v="2"/>
    <n v="9"/>
    <n v="150"/>
    <n v="1350"/>
    <n v="0.02"/>
    <n v="27"/>
    <x v="11"/>
  </r>
  <r>
    <s v="order_id = 909"/>
    <x v="26"/>
    <x v="0"/>
    <x v="1"/>
    <n v="5"/>
    <n v="80"/>
    <n v="400"/>
    <n v="7.0000000000000007E-2"/>
    <n v="28.000000000000004"/>
    <x v="0"/>
  </r>
  <r>
    <s v="order_id = 910"/>
    <x v="26"/>
    <x v="4"/>
    <x v="2"/>
    <n v="20"/>
    <n v="150"/>
    <n v="3000"/>
    <n v="0.04"/>
    <n v="120"/>
    <x v="1"/>
  </r>
  <r>
    <s v="order_id = 911"/>
    <x v="26"/>
    <x v="4"/>
    <x v="3"/>
    <n v="15"/>
    <n v="150"/>
    <n v="2250"/>
    <n v="0.05"/>
    <n v="112.5"/>
    <x v="2"/>
  </r>
  <r>
    <s v="order_id = 912"/>
    <x v="26"/>
    <x v="0"/>
    <x v="0"/>
    <n v="20"/>
    <n v="80"/>
    <n v="1600"/>
    <n v="0.01"/>
    <n v="16"/>
    <x v="3"/>
  </r>
  <r>
    <s v="order_id = 913"/>
    <x v="27"/>
    <x v="2"/>
    <x v="1"/>
    <n v="12"/>
    <n v="230"/>
    <n v="2760"/>
    <n v="0.03"/>
    <n v="82.8"/>
    <x v="4"/>
  </r>
  <r>
    <s v="order_id = 914"/>
    <x v="27"/>
    <x v="1"/>
    <x v="4"/>
    <n v="20"/>
    <n v="40"/>
    <n v="800"/>
    <n v="0.05"/>
    <n v="40"/>
    <x v="5"/>
  </r>
  <r>
    <s v="order_id = 915"/>
    <x v="27"/>
    <x v="1"/>
    <x v="4"/>
    <n v="4"/>
    <n v="40"/>
    <n v="160"/>
    <n v="0.09"/>
    <n v="14.399999999999999"/>
    <x v="1"/>
  </r>
  <r>
    <s v="order_id = 916"/>
    <x v="27"/>
    <x v="3"/>
    <x v="2"/>
    <n v="6"/>
    <n v="16"/>
    <n v="96"/>
    <n v="7.0000000000000007E-2"/>
    <n v="6.7200000000000006"/>
    <x v="2"/>
  </r>
  <r>
    <s v="order_id = 917"/>
    <x v="27"/>
    <x v="0"/>
    <x v="1"/>
    <n v="13"/>
    <n v="80"/>
    <n v="1040"/>
    <n v="0.06"/>
    <n v="62.4"/>
    <x v="3"/>
  </r>
  <r>
    <s v="order_id = 918"/>
    <x v="27"/>
    <x v="4"/>
    <x v="0"/>
    <n v="4"/>
    <n v="150"/>
    <n v="600"/>
    <n v="0.1"/>
    <n v="60"/>
    <x v="4"/>
  </r>
  <r>
    <s v="order_id = 919"/>
    <x v="27"/>
    <x v="4"/>
    <x v="3"/>
    <n v="9"/>
    <n v="150"/>
    <n v="1350"/>
    <n v="0.02"/>
    <n v="27"/>
    <x v="5"/>
  </r>
  <r>
    <s v="order_id = 920"/>
    <x v="27"/>
    <x v="4"/>
    <x v="0"/>
    <n v="11"/>
    <n v="150"/>
    <n v="1650"/>
    <n v="0.05"/>
    <n v="82.5"/>
    <x v="6"/>
  </r>
  <r>
    <s v="order_id = 921"/>
    <x v="27"/>
    <x v="3"/>
    <x v="2"/>
    <n v="6"/>
    <n v="16"/>
    <n v="96"/>
    <n v="0.06"/>
    <n v="5.76"/>
    <x v="7"/>
  </r>
  <r>
    <s v="order_id = 922"/>
    <x v="28"/>
    <x v="2"/>
    <x v="2"/>
    <n v="14"/>
    <n v="230"/>
    <n v="3220"/>
    <n v="0.12"/>
    <n v="386.4"/>
    <x v="8"/>
  </r>
  <r>
    <s v="order_id = 923"/>
    <x v="28"/>
    <x v="0"/>
    <x v="1"/>
    <n v="15"/>
    <n v="80"/>
    <n v="1200"/>
    <n v="0.12"/>
    <n v="144"/>
    <x v="9"/>
  </r>
  <r>
    <s v="order_id = 924"/>
    <x v="28"/>
    <x v="2"/>
    <x v="3"/>
    <n v="17"/>
    <n v="230"/>
    <n v="3910"/>
    <n v="0.12"/>
    <n v="469.2"/>
    <x v="10"/>
  </r>
  <r>
    <s v="order_id = 925"/>
    <x v="28"/>
    <x v="4"/>
    <x v="0"/>
    <n v="5"/>
    <n v="150"/>
    <n v="750"/>
    <n v="0.11"/>
    <n v="82.5"/>
    <x v="11"/>
  </r>
  <r>
    <s v="order_id = 926"/>
    <x v="28"/>
    <x v="0"/>
    <x v="4"/>
    <n v="10"/>
    <n v="80"/>
    <n v="800"/>
    <n v="0.06"/>
    <n v="48"/>
    <x v="0"/>
  </r>
  <r>
    <s v="order_id = 927"/>
    <x v="28"/>
    <x v="0"/>
    <x v="0"/>
    <n v="9"/>
    <n v="80"/>
    <n v="720"/>
    <n v="0.04"/>
    <n v="28.8"/>
    <x v="1"/>
  </r>
  <r>
    <s v="order_id = 928"/>
    <x v="28"/>
    <x v="1"/>
    <x v="4"/>
    <n v="16"/>
    <n v="40"/>
    <n v="640"/>
    <n v="0.09"/>
    <n v="57.599999999999994"/>
    <x v="2"/>
  </r>
  <r>
    <s v="order_id = 929"/>
    <x v="28"/>
    <x v="2"/>
    <x v="0"/>
    <n v="7"/>
    <n v="230"/>
    <n v="1610"/>
    <n v="0.08"/>
    <n v="128.80000000000001"/>
    <x v="3"/>
  </r>
  <r>
    <s v="order_id = 930"/>
    <x v="28"/>
    <x v="0"/>
    <x v="3"/>
    <n v="17"/>
    <n v="80"/>
    <n v="1360"/>
    <n v="0.05"/>
    <n v="68"/>
    <x v="4"/>
  </r>
  <r>
    <s v="order_id = 931"/>
    <x v="28"/>
    <x v="2"/>
    <x v="0"/>
    <n v="11"/>
    <n v="230"/>
    <n v="2530"/>
    <n v="0.02"/>
    <n v="50.6"/>
    <x v="5"/>
  </r>
  <r>
    <s v="order_id = 932"/>
    <x v="29"/>
    <x v="1"/>
    <x v="0"/>
    <n v="15"/>
    <n v="40"/>
    <n v="600"/>
    <n v="0.06"/>
    <n v="36"/>
    <x v="1"/>
  </r>
  <r>
    <s v="order_id = 933"/>
    <x v="30"/>
    <x v="2"/>
    <x v="0"/>
    <n v="7"/>
    <n v="230"/>
    <n v="1610"/>
    <n v="0.02"/>
    <n v="32.200000000000003"/>
    <x v="2"/>
  </r>
  <r>
    <s v="order_id = 934"/>
    <x v="30"/>
    <x v="0"/>
    <x v="2"/>
    <n v="20"/>
    <n v="80"/>
    <n v="1600"/>
    <n v="7.0000000000000007E-2"/>
    <n v="112.00000000000001"/>
    <x v="3"/>
  </r>
  <r>
    <s v="order_id = 935"/>
    <x v="30"/>
    <x v="0"/>
    <x v="1"/>
    <n v="3"/>
    <n v="80"/>
    <n v="240"/>
    <n v="0.02"/>
    <n v="4.8"/>
    <x v="4"/>
  </r>
  <r>
    <s v="order_id = 936"/>
    <x v="30"/>
    <x v="4"/>
    <x v="2"/>
    <n v="2"/>
    <n v="150"/>
    <n v="300"/>
    <n v="0.02"/>
    <n v="6"/>
    <x v="5"/>
  </r>
  <r>
    <s v="order_id = 937"/>
    <x v="30"/>
    <x v="4"/>
    <x v="2"/>
    <n v="22"/>
    <n v="150"/>
    <n v="3300"/>
    <n v="0.09"/>
    <n v="297"/>
    <x v="6"/>
  </r>
  <r>
    <s v="order_id = 938"/>
    <x v="30"/>
    <x v="2"/>
    <x v="0"/>
    <n v="5"/>
    <n v="230"/>
    <n v="1150"/>
    <n v="0.1"/>
    <n v="115"/>
    <x v="7"/>
  </r>
  <r>
    <s v="order_id = 939"/>
    <x v="30"/>
    <x v="3"/>
    <x v="4"/>
    <n v="12"/>
    <n v="16"/>
    <n v="192"/>
    <n v="0.04"/>
    <n v="7.68"/>
    <x v="8"/>
  </r>
  <r>
    <s v="order_id = 940"/>
    <x v="30"/>
    <x v="1"/>
    <x v="3"/>
    <n v="6"/>
    <n v="40"/>
    <n v="240"/>
    <n v="7.0000000000000007E-2"/>
    <n v="16.8"/>
    <x v="9"/>
  </r>
  <r>
    <s v="order_id = 941"/>
    <x v="30"/>
    <x v="3"/>
    <x v="4"/>
    <n v="15"/>
    <n v="16"/>
    <n v="240"/>
    <n v="0.01"/>
    <n v="2.4"/>
    <x v="10"/>
  </r>
  <r>
    <s v="order_id = 942"/>
    <x v="0"/>
    <x v="4"/>
    <x v="4"/>
    <n v="13"/>
    <n v="150"/>
    <n v="1950"/>
    <n v="0.11"/>
    <n v="214.5"/>
    <x v="11"/>
  </r>
  <r>
    <s v="order_id = 943"/>
    <x v="0"/>
    <x v="1"/>
    <x v="1"/>
    <n v="8"/>
    <n v="40"/>
    <n v="320"/>
    <n v="0.09"/>
    <n v="28.799999999999997"/>
    <x v="0"/>
  </r>
  <r>
    <s v="order_id = 944"/>
    <x v="0"/>
    <x v="1"/>
    <x v="3"/>
    <n v="7"/>
    <n v="40"/>
    <n v="280"/>
    <n v="7.0000000000000007E-2"/>
    <n v="19.600000000000001"/>
    <x v="1"/>
  </r>
  <r>
    <s v="order_id = 945"/>
    <x v="0"/>
    <x v="1"/>
    <x v="1"/>
    <n v="18"/>
    <n v="40"/>
    <n v="720"/>
    <n v="0.08"/>
    <n v="57.6"/>
    <x v="2"/>
  </r>
  <r>
    <s v="order_id = 946"/>
    <x v="0"/>
    <x v="2"/>
    <x v="3"/>
    <n v="19"/>
    <n v="230"/>
    <n v="4370"/>
    <n v="0.06"/>
    <n v="262.2"/>
    <x v="3"/>
  </r>
  <r>
    <s v="order_id = 947"/>
    <x v="0"/>
    <x v="4"/>
    <x v="0"/>
    <n v="4"/>
    <n v="150"/>
    <n v="600"/>
    <n v="0.1"/>
    <n v="60"/>
    <x v="4"/>
  </r>
  <r>
    <s v="order_id = 948"/>
    <x v="1"/>
    <x v="0"/>
    <x v="4"/>
    <n v="9"/>
    <n v="80"/>
    <n v="720"/>
    <n v="0.06"/>
    <n v="43.199999999999996"/>
    <x v="5"/>
  </r>
  <r>
    <s v="order_id = 949"/>
    <x v="1"/>
    <x v="0"/>
    <x v="2"/>
    <n v="16"/>
    <n v="80"/>
    <n v="1280"/>
    <n v="0.02"/>
    <n v="25.6"/>
    <x v="1"/>
  </r>
  <r>
    <s v="order_id = 950"/>
    <x v="1"/>
    <x v="2"/>
    <x v="1"/>
    <n v="15"/>
    <n v="230"/>
    <n v="3450"/>
    <n v="0.09"/>
    <n v="310.5"/>
    <x v="2"/>
  </r>
  <r>
    <s v="order_id = 951"/>
    <x v="1"/>
    <x v="3"/>
    <x v="4"/>
    <n v="15"/>
    <n v="16"/>
    <n v="240"/>
    <n v="0.01"/>
    <n v="2.4"/>
    <x v="3"/>
  </r>
  <r>
    <s v="order_id = 952"/>
    <x v="1"/>
    <x v="2"/>
    <x v="0"/>
    <n v="7"/>
    <n v="230"/>
    <n v="1610"/>
    <n v="0.02"/>
    <n v="32.200000000000003"/>
    <x v="4"/>
  </r>
  <r>
    <s v="order_id = 953"/>
    <x v="1"/>
    <x v="3"/>
    <x v="2"/>
    <n v="23"/>
    <n v="16"/>
    <n v="368"/>
    <n v="0.11"/>
    <n v="40.479999999999997"/>
    <x v="5"/>
  </r>
  <r>
    <s v="order_id = 954"/>
    <x v="1"/>
    <x v="1"/>
    <x v="4"/>
    <n v="20"/>
    <n v="40"/>
    <n v="800"/>
    <n v="0.05"/>
    <n v="40"/>
    <x v="6"/>
  </r>
  <r>
    <s v="order_id = 955"/>
    <x v="2"/>
    <x v="2"/>
    <x v="1"/>
    <n v="9"/>
    <n v="230"/>
    <n v="2070"/>
    <n v="0.03"/>
    <n v="62.099999999999994"/>
    <x v="7"/>
  </r>
  <r>
    <s v="order_id = 956"/>
    <x v="2"/>
    <x v="1"/>
    <x v="3"/>
    <n v="23"/>
    <n v="40"/>
    <n v="920"/>
    <n v="0.06"/>
    <n v="55.199999999999996"/>
    <x v="8"/>
  </r>
  <r>
    <s v="order_id = 957"/>
    <x v="2"/>
    <x v="1"/>
    <x v="3"/>
    <n v="4"/>
    <n v="40"/>
    <n v="160"/>
    <n v="0.05"/>
    <n v="8"/>
    <x v="9"/>
  </r>
  <r>
    <s v="order_id = 958"/>
    <x v="2"/>
    <x v="4"/>
    <x v="0"/>
    <n v="13"/>
    <n v="150"/>
    <n v="1950"/>
    <n v="0.05"/>
    <n v="97.5"/>
    <x v="10"/>
  </r>
  <r>
    <s v="order_id = 959"/>
    <x v="2"/>
    <x v="2"/>
    <x v="1"/>
    <n v="7"/>
    <n v="230"/>
    <n v="1610"/>
    <n v="0.01"/>
    <n v="16.100000000000001"/>
    <x v="11"/>
  </r>
  <r>
    <s v="order_id = 960"/>
    <x v="2"/>
    <x v="2"/>
    <x v="1"/>
    <n v="7"/>
    <n v="230"/>
    <n v="1610"/>
    <n v="0.08"/>
    <n v="128.80000000000001"/>
    <x v="0"/>
  </r>
  <r>
    <s v="order_id = 961"/>
    <x v="2"/>
    <x v="2"/>
    <x v="2"/>
    <n v="15"/>
    <n v="230"/>
    <n v="3450"/>
    <n v="0.04"/>
    <n v="138"/>
    <x v="1"/>
  </r>
  <r>
    <s v="order_id = 962"/>
    <x v="2"/>
    <x v="1"/>
    <x v="3"/>
    <n v="15"/>
    <n v="40"/>
    <n v="600"/>
    <n v="0.03"/>
    <n v="18"/>
    <x v="2"/>
  </r>
  <r>
    <s v="order_id = 963"/>
    <x v="2"/>
    <x v="1"/>
    <x v="2"/>
    <n v="2"/>
    <n v="40"/>
    <n v="80"/>
    <n v="0.03"/>
    <n v="2.4"/>
    <x v="3"/>
  </r>
  <r>
    <s v="order_id = 964"/>
    <x v="2"/>
    <x v="4"/>
    <x v="2"/>
    <n v="2"/>
    <n v="150"/>
    <n v="300"/>
    <n v="0.02"/>
    <n v="6"/>
    <x v="4"/>
  </r>
  <r>
    <s v="order_id = 965"/>
    <x v="3"/>
    <x v="2"/>
    <x v="0"/>
    <n v="3"/>
    <n v="230"/>
    <n v="690"/>
    <n v="0.11"/>
    <n v="75.900000000000006"/>
    <x v="5"/>
  </r>
  <r>
    <s v="order_id = 966"/>
    <x v="3"/>
    <x v="1"/>
    <x v="2"/>
    <n v="4"/>
    <n v="40"/>
    <n v="160"/>
    <n v="0.06"/>
    <n v="9.6"/>
    <x v="1"/>
  </r>
  <r>
    <s v="order_id = 967"/>
    <x v="3"/>
    <x v="1"/>
    <x v="3"/>
    <n v="13"/>
    <n v="40"/>
    <n v="520"/>
    <n v="0.06"/>
    <n v="31.2"/>
    <x v="2"/>
  </r>
  <r>
    <s v="order_id = 968"/>
    <x v="3"/>
    <x v="3"/>
    <x v="3"/>
    <n v="15"/>
    <n v="16"/>
    <n v="240"/>
    <n v="0.12"/>
    <n v="28.799999999999997"/>
    <x v="3"/>
  </r>
  <r>
    <s v="order_id = 969"/>
    <x v="3"/>
    <x v="0"/>
    <x v="0"/>
    <n v="14"/>
    <n v="80"/>
    <n v="1120"/>
    <n v="0.08"/>
    <n v="89.600000000000009"/>
    <x v="4"/>
  </r>
  <r>
    <s v="order_id = 970"/>
    <x v="3"/>
    <x v="3"/>
    <x v="0"/>
    <n v="7"/>
    <n v="16"/>
    <n v="112"/>
    <n v="0.08"/>
    <n v="8.9600000000000009"/>
    <x v="5"/>
  </r>
  <r>
    <s v="order_id = 971"/>
    <x v="3"/>
    <x v="4"/>
    <x v="1"/>
    <n v="13"/>
    <n v="150"/>
    <n v="1950"/>
    <n v="0.02"/>
    <n v="39"/>
    <x v="6"/>
  </r>
  <r>
    <s v="order_id = 972"/>
    <x v="3"/>
    <x v="4"/>
    <x v="2"/>
    <n v="9"/>
    <n v="150"/>
    <n v="1350"/>
    <n v="0.02"/>
    <n v="27"/>
    <x v="7"/>
  </r>
  <r>
    <s v="order_id = 973"/>
    <x v="3"/>
    <x v="1"/>
    <x v="0"/>
    <n v="9"/>
    <n v="40"/>
    <n v="360"/>
    <n v="0.01"/>
    <n v="3.6"/>
    <x v="8"/>
  </r>
  <r>
    <s v="order_id = 974"/>
    <x v="4"/>
    <x v="0"/>
    <x v="4"/>
    <n v="9"/>
    <n v="80"/>
    <n v="720"/>
    <n v="7.0000000000000007E-2"/>
    <n v="50.400000000000006"/>
    <x v="9"/>
  </r>
  <r>
    <s v="order_id = 975"/>
    <x v="4"/>
    <x v="2"/>
    <x v="1"/>
    <n v="22"/>
    <n v="230"/>
    <n v="5060"/>
    <n v="0.11"/>
    <n v="556.6"/>
    <x v="10"/>
  </r>
  <r>
    <s v="order_id = 976"/>
    <x v="4"/>
    <x v="4"/>
    <x v="1"/>
    <n v="15"/>
    <n v="150"/>
    <n v="2250"/>
    <n v="0.02"/>
    <n v="45"/>
    <x v="11"/>
  </r>
  <r>
    <s v="order_id = 977"/>
    <x v="4"/>
    <x v="2"/>
    <x v="4"/>
    <n v="5"/>
    <n v="230"/>
    <n v="1150"/>
    <n v="0.12"/>
    <n v="138"/>
    <x v="0"/>
  </r>
  <r>
    <s v="order_id = 978"/>
    <x v="4"/>
    <x v="1"/>
    <x v="2"/>
    <n v="20"/>
    <n v="40"/>
    <n v="800"/>
    <n v="0.01"/>
    <n v="8"/>
    <x v="1"/>
  </r>
  <r>
    <s v="order_id = 979"/>
    <x v="4"/>
    <x v="1"/>
    <x v="0"/>
    <n v="23"/>
    <n v="40"/>
    <n v="920"/>
    <n v="0.03"/>
    <n v="27.599999999999998"/>
    <x v="2"/>
  </r>
  <r>
    <s v="order_id = 980"/>
    <x v="4"/>
    <x v="0"/>
    <x v="4"/>
    <n v="16"/>
    <n v="80"/>
    <n v="1280"/>
    <n v="0.05"/>
    <n v="64"/>
    <x v="3"/>
  </r>
  <r>
    <s v="order_id = 981"/>
    <x v="4"/>
    <x v="2"/>
    <x v="2"/>
    <n v="18"/>
    <n v="230"/>
    <n v="4140"/>
    <n v="0.01"/>
    <n v="41.4"/>
    <x v="4"/>
  </r>
  <r>
    <s v="order_id = 982"/>
    <x v="4"/>
    <x v="1"/>
    <x v="4"/>
    <n v="23"/>
    <n v="40"/>
    <n v="920"/>
    <n v="0.05"/>
    <n v="46"/>
    <x v="5"/>
  </r>
  <r>
    <s v="order_id = 983"/>
    <x v="4"/>
    <x v="3"/>
    <x v="3"/>
    <n v="5"/>
    <n v="16"/>
    <n v="80"/>
    <n v="0.09"/>
    <n v="7.1999999999999993"/>
    <x v="1"/>
  </r>
  <r>
    <s v="order_id = 984"/>
    <x v="4"/>
    <x v="1"/>
    <x v="0"/>
    <n v="22"/>
    <n v="40"/>
    <n v="880"/>
    <n v="0.02"/>
    <n v="17.600000000000001"/>
    <x v="2"/>
  </r>
  <r>
    <s v="order_id = 985"/>
    <x v="5"/>
    <x v="4"/>
    <x v="0"/>
    <n v="23"/>
    <n v="150"/>
    <n v="3450"/>
    <n v="0.1"/>
    <n v="345"/>
    <x v="3"/>
  </r>
  <r>
    <s v="order_id = 986"/>
    <x v="5"/>
    <x v="2"/>
    <x v="1"/>
    <n v="22"/>
    <n v="230"/>
    <n v="5060"/>
    <n v="0.04"/>
    <n v="202.4"/>
    <x v="4"/>
  </r>
  <r>
    <s v="order_id = 987"/>
    <x v="5"/>
    <x v="0"/>
    <x v="3"/>
    <n v="16"/>
    <n v="80"/>
    <n v="1280"/>
    <n v="7.0000000000000007E-2"/>
    <n v="89.600000000000009"/>
    <x v="5"/>
  </r>
  <r>
    <s v="order_id = 988"/>
    <x v="5"/>
    <x v="4"/>
    <x v="2"/>
    <n v="22"/>
    <n v="150"/>
    <n v="3300"/>
    <n v="0.09"/>
    <n v="297"/>
    <x v="6"/>
  </r>
  <r>
    <s v="order_id = 989"/>
    <x v="5"/>
    <x v="0"/>
    <x v="2"/>
    <n v="5"/>
    <n v="80"/>
    <n v="400"/>
    <n v="0.09"/>
    <n v="36"/>
    <x v="7"/>
  </r>
  <r>
    <s v="order_id = 990"/>
    <x v="5"/>
    <x v="0"/>
    <x v="3"/>
    <n v="16"/>
    <n v="80"/>
    <n v="1280"/>
    <n v="0.1"/>
    <n v="128"/>
    <x v="8"/>
  </r>
  <r>
    <s v="order_id = 991"/>
    <x v="5"/>
    <x v="4"/>
    <x v="1"/>
    <n v="23"/>
    <n v="150"/>
    <n v="3450"/>
    <n v="0.11"/>
    <n v="379.5"/>
    <x v="9"/>
  </r>
  <r>
    <s v="order_id = 992"/>
    <x v="5"/>
    <x v="3"/>
    <x v="1"/>
    <n v="4"/>
    <n v="16"/>
    <n v="64"/>
    <n v="0.09"/>
    <n v="5.76"/>
    <x v="10"/>
  </r>
  <r>
    <s v="order_id = 993"/>
    <x v="5"/>
    <x v="3"/>
    <x v="1"/>
    <n v="4"/>
    <n v="16"/>
    <n v="64"/>
    <n v="7.0000000000000007E-2"/>
    <n v="4.4800000000000004"/>
    <x v="11"/>
  </r>
  <r>
    <s v="order_id = 994"/>
    <x v="5"/>
    <x v="3"/>
    <x v="0"/>
    <n v="16"/>
    <n v="16"/>
    <n v="256"/>
    <n v="0.03"/>
    <n v="7.68"/>
    <x v="0"/>
  </r>
  <r>
    <s v="order_id = 995"/>
    <x v="5"/>
    <x v="1"/>
    <x v="3"/>
    <n v="18"/>
    <n v="40"/>
    <n v="720"/>
    <n v="0.04"/>
    <n v="28.8"/>
    <x v="1"/>
  </r>
  <r>
    <s v="order_id = 996"/>
    <x v="5"/>
    <x v="0"/>
    <x v="3"/>
    <n v="21"/>
    <n v="80"/>
    <n v="1680"/>
    <n v="0.02"/>
    <n v="33.6"/>
    <x v="2"/>
  </r>
  <r>
    <s v="order_id = 997"/>
    <x v="5"/>
    <x v="0"/>
    <x v="4"/>
    <n v="10"/>
    <n v="80"/>
    <n v="800"/>
    <n v="0.06"/>
    <n v="48"/>
    <x v="3"/>
  </r>
  <r>
    <s v="order_id = 998"/>
    <x v="5"/>
    <x v="2"/>
    <x v="2"/>
    <n v="7"/>
    <n v="230"/>
    <n v="1610"/>
    <n v="0.01"/>
    <n v="16.100000000000001"/>
    <x v="4"/>
  </r>
  <r>
    <s v="order_id = 999"/>
    <x v="6"/>
    <x v="3"/>
    <x v="4"/>
    <n v="11"/>
    <n v="16"/>
    <n v="176"/>
    <n v="0.12"/>
    <n v="21.119999999999997"/>
    <x v="5"/>
  </r>
  <r>
    <s v="order_id = 1000"/>
    <x v="6"/>
    <x v="0"/>
    <x v="3"/>
    <n v="10"/>
    <n v="80"/>
    <n v="800"/>
    <n v="0.1"/>
    <n v="80"/>
    <x v="1"/>
  </r>
  <r>
    <s v="order_id = 1001"/>
    <x v="6"/>
    <x v="1"/>
    <x v="1"/>
    <n v="23"/>
    <n v="40"/>
    <n v="920"/>
    <n v="0.06"/>
    <n v="55.199999999999996"/>
    <x v="2"/>
  </r>
  <r>
    <s v="order_id = 1002"/>
    <x v="6"/>
    <x v="4"/>
    <x v="4"/>
    <n v="7"/>
    <n v="150"/>
    <n v="1050"/>
    <n v="0.02"/>
    <n v="21"/>
    <x v="3"/>
  </r>
  <r>
    <s v="order_id = 1003"/>
    <x v="6"/>
    <x v="0"/>
    <x v="0"/>
    <n v="17"/>
    <n v="80"/>
    <n v="1360"/>
    <n v="7.0000000000000007E-2"/>
    <n v="95.2"/>
    <x v="4"/>
  </r>
  <r>
    <s v="order_id = 1004"/>
    <x v="6"/>
    <x v="4"/>
    <x v="1"/>
    <n v="20"/>
    <n v="150"/>
    <n v="3000"/>
    <n v="0.09"/>
    <n v="270"/>
    <x v="5"/>
  </r>
  <r>
    <s v="order_id = 1005"/>
    <x v="6"/>
    <x v="2"/>
    <x v="3"/>
    <n v="23"/>
    <n v="230"/>
    <n v="5290"/>
    <n v="0.06"/>
    <n v="317.39999999999998"/>
    <x v="6"/>
  </r>
  <r>
    <s v="order_id = 1006"/>
    <x v="6"/>
    <x v="0"/>
    <x v="1"/>
    <n v="16"/>
    <n v="80"/>
    <n v="1280"/>
    <n v="0.04"/>
    <n v="51.2"/>
    <x v="7"/>
  </r>
  <r>
    <s v="order_id = 1007"/>
    <x v="6"/>
    <x v="2"/>
    <x v="4"/>
    <n v="22"/>
    <n v="230"/>
    <n v="5060"/>
    <n v="0.1"/>
    <n v="506"/>
    <x v="8"/>
  </r>
  <r>
    <s v="order_id = 1008"/>
    <x v="6"/>
    <x v="2"/>
    <x v="2"/>
    <n v="15"/>
    <n v="230"/>
    <n v="3450"/>
    <n v="0.11"/>
    <n v="379.5"/>
    <x v="9"/>
  </r>
  <r>
    <s v="order_id = 1009"/>
    <x v="6"/>
    <x v="1"/>
    <x v="1"/>
    <n v="15"/>
    <n v="40"/>
    <n v="600"/>
    <n v="0.04"/>
    <n v="24"/>
    <x v="10"/>
  </r>
  <r>
    <s v="order_id = 1010"/>
    <x v="6"/>
    <x v="0"/>
    <x v="1"/>
    <n v="2"/>
    <n v="80"/>
    <n v="160"/>
    <n v="7.0000000000000007E-2"/>
    <n v="11.200000000000001"/>
    <x v="11"/>
  </r>
  <r>
    <s v="order_id = 1011"/>
    <x v="7"/>
    <x v="4"/>
    <x v="0"/>
    <n v="22"/>
    <n v="150"/>
    <n v="3300"/>
    <n v="0.05"/>
    <n v="165"/>
    <x v="0"/>
  </r>
  <r>
    <s v="order_id = 1012"/>
    <x v="7"/>
    <x v="1"/>
    <x v="4"/>
    <n v="20"/>
    <n v="40"/>
    <n v="800"/>
    <n v="7.0000000000000007E-2"/>
    <n v="56.000000000000007"/>
    <x v="1"/>
  </r>
  <r>
    <s v="order_id = 1013"/>
    <x v="7"/>
    <x v="2"/>
    <x v="3"/>
    <n v="2"/>
    <n v="230"/>
    <n v="460"/>
    <n v="0.09"/>
    <n v="41.4"/>
    <x v="2"/>
  </r>
  <r>
    <s v="order_id = 1014"/>
    <x v="7"/>
    <x v="1"/>
    <x v="3"/>
    <n v="7"/>
    <n v="40"/>
    <n v="280"/>
    <n v="0.11"/>
    <n v="30.8"/>
    <x v="3"/>
  </r>
  <r>
    <s v="order_id = 1015"/>
    <x v="7"/>
    <x v="1"/>
    <x v="3"/>
    <n v="9"/>
    <n v="40"/>
    <n v="360"/>
    <n v="0.06"/>
    <n v="21.599999999999998"/>
    <x v="5"/>
  </r>
  <r>
    <s v="order_id = 1016"/>
    <x v="7"/>
    <x v="1"/>
    <x v="0"/>
    <n v="18"/>
    <n v="40"/>
    <n v="720"/>
    <n v="0.11"/>
    <n v="79.2"/>
    <x v="1"/>
  </r>
  <r>
    <s v="order_id = 1017"/>
    <x v="7"/>
    <x v="2"/>
    <x v="0"/>
    <n v="20"/>
    <n v="230"/>
    <n v="4600"/>
    <n v="0.04"/>
    <n v="184"/>
    <x v="2"/>
  </r>
  <r>
    <s v="order_id = 1018"/>
    <x v="7"/>
    <x v="0"/>
    <x v="2"/>
    <n v="23"/>
    <n v="80"/>
    <n v="1840"/>
    <n v="0.05"/>
    <n v="92"/>
    <x v="3"/>
  </r>
  <r>
    <s v="order_id = 1019"/>
    <x v="7"/>
    <x v="4"/>
    <x v="4"/>
    <n v="11"/>
    <n v="150"/>
    <n v="1650"/>
    <n v="0.09"/>
    <n v="148.5"/>
    <x v="4"/>
  </r>
  <r>
    <s v="order_id = 1020"/>
    <x v="7"/>
    <x v="4"/>
    <x v="0"/>
    <n v="17"/>
    <n v="150"/>
    <n v="2550"/>
    <n v="0.12"/>
    <n v="306"/>
    <x v="5"/>
  </r>
  <r>
    <s v="order_id = 1021"/>
    <x v="7"/>
    <x v="2"/>
    <x v="4"/>
    <n v="2"/>
    <n v="230"/>
    <n v="460"/>
    <n v="0.08"/>
    <n v="36.800000000000004"/>
    <x v="6"/>
  </r>
  <r>
    <s v="order_id = 1022"/>
    <x v="7"/>
    <x v="0"/>
    <x v="2"/>
    <n v="10"/>
    <n v="80"/>
    <n v="800"/>
    <n v="0.11"/>
    <n v="88"/>
    <x v="7"/>
  </r>
  <r>
    <s v="order_id = 1023"/>
    <x v="8"/>
    <x v="3"/>
    <x v="3"/>
    <n v="22"/>
    <n v="16"/>
    <n v="352"/>
    <n v="0.03"/>
    <n v="10.559999999999999"/>
    <x v="8"/>
  </r>
  <r>
    <s v="order_id = 1024"/>
    <x v="8"/>
    <x v="3"/>
    <x v="2"/>
    <n v="9"/>
    <n v="16"/>
    <n v="144"/>
    <n v="0.05"/>
    <n v="7.2"/>
    <x v="9"/>
  </r>
  <r>
    <s v="order_id = 1025"/>
    <x v="8"/>
    <x v="1"/>
    <x v="2"/>
    <n v="4"/>
    <n v="40"/>
    <n v="160"/>
    <n v="0.1"/>
    <n v="16"/>
    <x v="10"/>
  </r>
  <r>
    <s v="order_id = 1026"/>
    <x v="8"/>
    <x v="0"/>
    <x v="4"/>
    <n v="9"/>
    <n v="80"/>
    <n v="720"/>
    <n v="0.02"/>
    <n v="14.4"/>
    <x v="11"/>
  </r>
  <r>
    <s v="order_id = 1027"/>
    <x v="8"/>
    <x v="2"/>
    <x v="2"/>
    <n v="6"/>
    <n v="230"/>
    <n v="1380"/>
    <n v="0.05"/>
    <n v="69"/>
    <x v="0"/>
  </r>
  <r>
    <s v="order_id = 1028"/>
    <x v="8"/>
    <x v="0"/>
    <x v="3"/>
    <n v="14"/>
    <n v="80"/>
    <n v="1120"/>
    <n v="0.05"/>
    <n v="56"/>
    <x v="1"/>
  </r>
  <r>
    <s v="order_id = 1029"/>
    <x v="8"/>
    <x v="3"/>
    <x v="4"/>
    <n v="17"/>
    <n v="16"/>
    <n v="272"/>
    <n v="0.08"/>
    <n v="21.76"/>
    <x v="2"/>
  </r>
  <r>
    <s v="order_id = 1030"/>
    <x v="8"/>
    <x v="4"/>
    <x v="1"/>
    <n v="22"/>
    <n v="150"/>
    <n v="3300"/>
    <n v="0.02"/>
    <n v="66"/>
    <x v="3"/>
  </r>
  <r>
    <s v="order_id = 1031"/>
    <x v="8"/>
    <x v="1"/>
    <x v="4"/>
    <n v="17"/>
    <n v="40"/>
    <n v="680"/>
    <n v="0.02"/>
    <n v="13.6"/>
    <x v="4"/>
  </r>
  <r>
    <s v="order_id = 1032"/>
    <x v="8"/>
    <x v="0"/>
    <x v="4"/>
    <n v="17"/>
    <n v="80"/>
    <n v="1360"/>
    <n v="7.0000000000000007E-2"/>
    <n v="95.2"/>
    <x v="5"/>
  </r>
  <r>
    <s v="order_id = 1033"/>
    <x v="8"/>
    <x v="4"/>
    <x v="3"/>
    <n v="4"/>
    <n v="150"/>
    <n v="600"/>
    <n v="0.12"/>
    <n v="72"/>
    <x v="1"/>
  </r>
  <r>
    <s v="order_id = 1034"/>
    <x v="8"/>
    <x v="3"/>
    <x v="3"/>
    <n v="14"/>
    <n v="16"/>
    <n v="224"/>
    <n v="0.12"/>
    <n v="26.88"/>
    <x v="2"/>
  </r>
  <r>
    <s v="order_id = 1035"/>
    <x v="8"/>
    <x v="3"/>
    <x v="0"/>
    <n v="18"/>
    <n v="16"/>
    <n v="288"/>
    <n v="0.11"/>
    <n v="31.68"/>
    <x v="3"/>
  </r>
  <r>
    <s v="order_id = 1036"/>
    <x v="8"/>
    <x v="0"/>
    <x v="4"/>
    <n v="22"/>
    <n v="80"/>
    <n v="1760"/>
    <n v="0.09"/>
    <n v="158.4"/>
    <x v="4"/>
  </r>
  <r>
    <s v="order_id = 1037"/>
    <x v="8"/>
    <x v="2"/>
    <x v="1"/>
    <n v="12"/>
    <n v="230"/>
    <n v="2760"/>
    <n v="0.03"/>
    <n v="82.8"/>
    <x v="5"/>
  </r>
  <r>
    <s v="order_id = 1038"/>
    <x v="8"/>
    <x v="1"/>
    <x v="1"/>
    <n v="12"/>
    <n v="40"/>
    <n v="480"/>
    <n v="0.1"/>
    <n v="48"/>
    <x v="6"/>
  </r>
  <r>
    <s v="order_id = 1039"/>
    <x v="9"/>
    <x v="1"/>
    <x v="4"/>
    <n v="7"/>
    <n v="40"/>
    <n v="280"/>
    <n v="0.12"/>
    <n v="33.6"/>
    <x v="7"/>
  </r>
  <r>
    <s v="order_id = 1040"/>
    <x v="9"/>
    <x v="0"/>
    <x v="0"/>
    <n v="12"/>
    <n v="80"/>
    <n v="960"/>
    <n v="0.04"/>
    <n v="38.4"/>
    <x v="8"/>
  </r>
  <r>
    <s v="order_id = 1041"/>
    <x v="9"/>
    <x v="3"/>
    <x v="4"/>
    <n v="17"/>
    <n v="16"/>
    <n v="272"/>
    <n v="0.1"/>
    <n v="27.200000000000003"/>
    <x v="9"/>
  </r>
  <r>
    <s v="order_id = 1042"/>
    <x v="9"/>
    <x v="2"/>
    <x v="1"/>
    <n v="6"/>
    <n v="230"/>
    <n v="1380"/>
    <n v="0.1"/>
    <n v="138"/>
    <x v="10"/>
  </r>
  <r>
    <s v="order_id = 1043"/>
    <x v="9"/>
    <x v="1"/>
    <x v="0"/>
    <n v="11"/>
    <n v="40"/>
    <n v="440"/>
    <n v="0.04"/>
    <n v="17.600000000000001"/>
    <x v="11"/>
  </r>
  <r>
    <s v="order_id = 1044"/>
    <x v="9"/>
    <x v="3"/>
    <x v="3"/>
    <n v="10"/>
    <n v="16"/>
    <n v="160"/>
    <n v="0.04"/>
    <n v="6.4"/>
    <x v="0"/>
  </r>
  <r>
    <s v="order_id = 1045"/>
    <x v="9"/>
    <x v="0"/>
    <x v="0"/>
    <n v="6"/>
    <n v="80"/>
    <n v="480"/>
    <n v="7.0000000000000007E-2"/>
    <n v="33.6"/>
    <x v="1"/>
  </r>
  <r>
    <s v="order_id = 1046"/>
    <x v="9"/>
    <x v="1"/>
    <x v="3"/>
    <n v="11"/>
    <n v="40"/>
    <n v="440"/>
    <n v="0.09"/>
    <n v="39.6"/>
    <x v="2"/>
  </r>
  <r>
    <s v="order_id = 1047"/>
    <x v="9"/>
    <x v="0"/>
    <x v="4"/>
    <n v="16"/>
    <n v="80"/>
    <n v="1280"/>
    <n v="0.09"/>
    <n v="115.19999999999999"/>
    <x v="3"/>
  </r>
  <r>
    <s v="order_id = 1048"/>
    <x v="9"/>
    <x v="1"/>
    <x v="3"/>
    <n v="13"/>
    <n v="40"/>
    <n v="520"/>
    <n v="0.09"/>
    <n v="46.8"/>
    <x v="4"/>
  </r>
  <r>
    <s v="order_id = 1049"/>
    <x v="9"/>
    <x v="2"/>
    <x v="0"/>
    <n v="5"/>
    <n v="230"/>
    <n v="1150"/>
    <n v="0.1"/>
    <n v="115"/>
    <x v="5"/>
  </r>
  <r>
    <s v="order_id = 1050"/>
    <x v="10"/>
    <x v="1"/>
    <x v="4"/>
    <n v="7"/>
    <n v="40"/>
    <n v="280"/>
    <n v="0.05"/>
    <n v="14"/>
    <x v="1"/>
  </r>
  <r>
    <s v="order_id = 1051"/>
    <x v="10"/>
    <x v="0"/>
    <x v="2"/>
    <n v="14"/>
    <n v="80"/>
    <n v="1120"/>
    <n v="0.1"/>
    <n v="112"/>
    <x v="2"/>
  </r>
  <r>
    <s v="order_id = 1052"/>
    <x v="10"/>
    <x v="3"/>
    <x v="4"/>
    <n v="12"/>
    <n v="16"/>
    <n v="192"/>
    <n v="0.04"/>
    <n v="7.68"/>
    <x v="3"/>
  </r>
  <r>
    <s v="order_id = 1053"/>
    <x v="10"/>
    <x v="2"/>
    <x v="2"/>
    <n v="14"/>
    <n v="230"/>
    <n v="3220"/>
    <n v="0.03"/>
    <n v="96.6"/>
    <x v="4"/>
  </r>
  <r>
    <s v="order_id = 1054"/>
    <x v="10"/>
    <x v="0"/>
    <x v="4"/>
    <n v="21"/>
    <n v="80"/>
    <n v="1680"/>
    <n v="0.09"/>
    <n v="151.19999999999999"/>
    <x v="5"/>
  </r>
  <r>
    <s v="order_id = 1055"/>
    <x v="10"/>
    <x v="2"/>
    <x v="2"/>
    <n v="5"/>
    <n v="230"/>
    <n v="1150"/>
    <n v="0.1"/>
    <n v="115"/>
    <x v="6"/>
  </r>
  <r>
    <s v="order_id = 1056"/>
    <x v="10"/>
    <x v="1"/>
    <x v="4"/>
    <n v="16"/>
    <n v="40"/>
    <n v="640"/>
    <n v="0.09"/>
    <n v="57.599999999999994"/>
    <x v="7"/>
  </r>
  <r>
    <s v="order_id = 1057"/>
    <x v="10"/>
    <x v="4"/>
    <x v="1"/>
    <n v="15"/>
    <n v="150"/>
    <n v="2250"/>
    <n v="0.12"/>
    <n v="270"/>
    <x v="8"/>
  </r>
  <r>
    <s v="order_id = 1058"/>
    <x v="10"/>
    <x v="3"/>
    <x v="4"/>
    <n v="23"/>
    <n v="16"/>
    <n v="368"/>
    <n v="0.01"/>
    <n v="3.68"/>
    <x v="9"/>
  </r>
  <r>
    <s v="order_id = 1059"/>
    <x v="10"/>
    <x v="3"/>
    <x v="1"/>
    <n v="22"/>
    <n v="16"/>
    <n v="352"/>
    <n v="0.04"/>
    <n v="14.08"/>
    <x v="10"/>
  </r>
  <r>
    <s v="order_id = 1060"/>
    <x v="10"/>
    <x v="0"/>
    <x v="0"/>
    <n v="20"/>
    <n v="80"/>
    <n v="1600"/>
    <n v="0.01"/>
    <n v="16"/>
    <x v="11"/>
  </r>
  <r>
    <s v="order_id = 1061"/>
    <x v="10"/>
    <x v="1"/>
    <x v="3"/>
    <n v="6"/>
    <n v="40"/>
    <n v="240"/>
    <n v="7.0000000000000007E-2"/>
    <n v="16.8"/>
    <x v="0"/>
  </r>
  <r>
    <s v="order_id = 1062"/>
    <x v="11"/>
    <x v="4"/>
    <x v="1"/>
    <n v="10"/>
    <n v="150"/>
    <n v="1500"/>
    <n v="0.01"/>
    <n v="15"/>
    <x v="1"/>
  </r>
  <r>
    <s v="order_id = 1063"/>
    <x v="11"/>
    <x v="0"/>
    <x v="3"/>
    <n v="17"/>
    <n v="80"/>
    <n v="1360"/>
    <n v="0.05"/>
    <n v="68"/>
    <x v="2"/>
  </r>
  <r>
    <s v="order_id = 1064"/>
    <x v="11"/>
    <x v="4"/>
    <x v="0"/>
    <n v="13"/>
    <n v="150"/>
    <n v="1950"/>
    <n v="0.05"/>
    <n v="97.5"/>
    <x v="3"/>
  </r>
  <r>
    <s v="order_id = 1065"/>
    <x v="11"/>
    <x v="2"/>
    <x v="3"/>
    <n v="8"/>
    <n v="230"/>
    <n v="1840"/>
    <n v="0.05"/>
    <n v="92"/>
    <x v="4"/>
  </r>
  <r>
    <s v="order_id = 1066"/>
    <x v="11"/>
    <x v="3"/>
    <x v="0"/>
    <n v="10"/>
    <n v="16"/>
    <n v="160"/>
    <n v="0.08"/>
    <n v="12.8"/>
    <x v="5"/>
  </r>
  <r>
    <s v="order_id = 1067"/>
    <x v="11"/>
    <x v="1"/>
    <x v="1"/>
    <n v="4"/>
    <n v="40"/>
    <n v="160"/>
    <n v="0.06"/>
    <n v="9.6"/>
    <x v="1"/>
  </r>
  <r>
    <s v="order_id = 1068"/>
    <x v="11"/>
    <x v="1"/>
    <x v="4"/>
    <n v="18"/>
    <n v="40"/>
    <n v="720"/>
    <n v="0.06"/>
    <n v="43.199999999999996"/>
    <x v="2"/>
  </r>
  <r>
    <s v="order_id = 1069"/>
    <x v="11"/>
    <x v="4"/>
    <x v="3"/>
    <n v="15"/>
    <n v="150"/>
    <n v="2250"/>
    <n v="0.05"/>
    <n v="112.5"/>
    <x v="3"/>
  </r>
  <r>
    <s v="order_id = 1070"/>
    <x v="11"/>
    <x v="4"/>
    <x v="3"/>
    <n v="3"/>
    <n v="150"/>
    <n v="450"/>
    <n v="0.01"/>
    <n v="4.5"/>
    <x v="4"/>
  </r>
  <r>
    <s v="order_id = 1071"/>
    <x v="11"/>
    <x v="3"/>
    <x v="0"/>
    <n v="12"/>
    <n v="16"/>
    <n v="192"/>
    <n v="0.11"/>
    <n v="21.12"/>
    <x v="5"/>
  </r>
  <r>
    <s v="order_id = 1072"/>
    <x v="12"/>
    <x v="0"/>
    <x v="4"/>
    <n v="17"/>
    <n v="80"/>
    <n v="1360"/>
    <n v="7.0000000000000007E-2"/>
    <n v="95.2"/>
    <x v="6"/>
  </r>
  <r>
    <s v="order_id = 1073"/>
    <x v="12"/>
    <x v="2"/>
    <x v="0"/>
    <n v="3"/>
    <n v="230"/>
    <n v="690"/>
    <n v="0.06"/>
    <n v="41.4"/>
    <x v="7"/>
  </r>
  <r>
    <s v="order_id = 1074"/>
    <x v="12"/>
    <x v="0"/>
    <x v="2"/>
    <n v="20"/>
    <n v="80"/>
    <n v="1600"/>
    <n v="7.0000000000000007E-2"/>
    <n v="112.00000000000001"/>
    <x v="8"/>
  </r>
  <r>
    <s v="order_id = 1075"/>
    <x v="12"/>
    <x v="2"/>
    <x v="1"/>
    <n v="14"/>
    <n v="230"/>
    <n v="3220"/>
    <n v="0.05"/>
    <n v="161"/>
    <x v="9"/>
  </r>
  <r>
    <s v="order_id = 1076"/>
    <x v="12"/>
    <x v="1"/>
    <x v="4"/>
    <n v="16"/>
    <n v="40"/>
    <n v="640"/>
    <n v="0.09"/>
    <n v="57.599999999999994"/>
    <x v="10"/>
  </r>
  <r>
    <s v="order_id = 1077"/>
    <x v="12"/>
    <x v="3"/>
    <x v="1"/>
    <n v="7"/>
    <n v="16"/>
    <n v="112"/>
    <n v="0.08"/>
    <n v="8.9600000000000009"/>
    <x v="11"/>
  </r>
  <r>
    <s v="order_id = 1078"/>
    <x v="12"/>
    <x v="1"/>
    <x v="1"/>
    <n v="19"/>
    <n v="40"/>
    <n v="760"/>
    <n v="0.1"/>
    <n v="76"/>
    <x v="0"/>
  </r>
  <r>
    <s v="order_id = 1079"/>
    <x v="12"/>
    <x v="2"/>
    <x v="3"/>
    <n v="7"/>
    <n v="230"/>
    <n v="1610"/>
    <n v="0.06"/>
    <n v="96.6"/>
    <x v="1"/>
  </r>
  <r>
    <s v="order_id = 1080"/>
    <x v="12"/>
    <x v="1"/>
    <x v="4"/>
    <n v="20"/>
    <n v="40"/>
    <n v="800"/>
    <n v="0.03"/>
    <n v="24"/>
    <x v="2"/>
  </r>
  <r>
    <s v="order_id = 1081"/>
    <x v="12"/>
    <x v="3"/>
    <x v="2"/>
    <n v="11"/>
    <n v="16"/>
    <n v="176"/>
    <n v="0.12"/>
    <n v="21.119999999999997"/>
    <x v="3"/>
  </r>
  <r>
    <s v="order_id = 1082"/>
    <x v="12"/>
    <x v="0"/>
    <x v="4"/>
    <n v="16"/>
    <n v="80"/>
    <n v="1280"/>
    <n v="0.09"/>
    <n v="115.19999999999999"/>
    <x v="4"/>
  </r>
  <r>
    <s v="order_id = 1083"/>
    <x v="12"/>
    <x v="3"/>
    <x v="0"/>
    <n v="21"/>
    <n v="16"/>
    <n v="336"/>
    <n v="0.09"/>
    <n v="30.24"/>
    <x v="5"/>
  </r>
  <r>
    <s v="order_id = 1084"/>
    <x v="12"/>
    <x v="3"/>
    <x v="0"/>
    <n v="22"/>
    <n v="16"/>
    <n v="352"/>
    <n v="0.01"/>
    <n v="3.52"/>
    <x v="1"/>
  </r>
  <r>
    <s v="order_id = 1085"/>
    <x v="12"/>
    <x v="2"/>
    <x v="3"/>
    <n v="23"/>
    <n v="230"/>
    <n v="5290"/>
    <n v="0.06"/>
    <n v="317.39999999999998"/>
    <x v="2"/>
  </r>
  <r>
    <s v="order_id = 1086"/>
    <x v="12"/>
    <x v="4"/>
    <x v="0"/>
    <n v="9"/>
    <n v="150"/>
    <n v="1350"/>
    <n v="0.1"/>
    <n v="135"/>
    <x v="3"/>
  </r>
  <r>
    <s v="order_id = 1087"/>
    <x v="12"/>
    <x v="4"/>
    <x v="2"/>
    <n v="9"/>
    <n v="150"/>
    <n v="1350"/>
    <n v="0.06"/>
    <n v="81"/>
    <x v="4"/>
  </r>
  <r>
    <s v="order_id = 1088"/>
    <x v="13"/>
    <x v="2"/>
    <x v="0"/>
    <n v="9"/>
    <n v="230"/>
    <n v="2070"/>
    <n v="7.0000000000000007E-2"/>
    <n v="144.9"/>
    <x v="5"/>
  </r>
  <r>
    <s v="order_id = 1089"/>
    <x v="13"/>
    <x v="0"/>
    <x v="2"/>
    <n v="10"/>
    <n v="80"/>
    <n v="800"/>
    <n v="0.08"/>
    <n v="64"/>
    <x v="6"/>
  </r>
  <r>
    <s v="order_id = 1090"/>
    <x v="13"/>
    <x v="3"/>
    <x v="2"/>
    <n v="23"/>
    <n v="16"/>
    <n v="368"/>
    <n v="0.11"/>
    <n v="40.479999999999997"/>
    <x v="7"/>
  </r>
  <r>
    <s v="order_id = 1091"/>
    <x v="13"/>
    <x v="0"/>
    <x v="3"/>
    <n v="22"/>
    <n v="80"/>
    <n v="1760"/>
    <n v="0.03"/>
    <n v="52.8"/>
    <x v="8"/>
  </r>
  <r>
    <s v="order_id = 1092"/>
    <x v="13"/>
    <x v="0"/>
    <x v="3"/>
    <n v="4"/>
    <n v="80"/>
    <n v="320"/>
    <n v="0.11"/>
    <n v="35.200000000000003"/>
    <x v="9"/>
  </r>
  <r>
    <s v="order_id = 1093"/>
    <x v="13"/>
    <x v="3"/>
    <x v="0"/>
    <n v="22"/>
    <n v="16"/>
    <n v="352"/>
    <n v="0.06"/>
    <n v="21.119999999999997"/>
    <x v="10"/>
  </r>
  <r>
    <s v="order_id = 1094"/>
    <x v="13"/>
    <x v="1"/>
    <x v="1"/>
    <n v="15"/>
    <n v="40"/>
    <n v="600"/>
    <n v="0.02"/>
    <n v="12"/>
    <x v="11"/>
  </r>
  <r>
    <s v="order_id = 1095"/>
    <x v="13"/>
    <x v="1"/>
    <x v="4"/>
    <n v="7"/>
    <n v="40"/>
    <n v="280"/>
    <n v="0.04"/>
    <n v="11.200000000000001"/>
    <x v="0"/>
  </r>
  <r>
    <s v="order_id = 1096"/>
    <x v="13"/>
    <x v="3"/>
    <x v="4"/>
    <n v="2"/>
    <n v="16"/>
    <n v="32"/>
    <n v="0.04"/>
    <n v="1.28"/>
    <x v="1"/>
  </r>
  <r>
    <s v="order_id = 1097"/>
    <x v="13"/>
    <x v="0"/>
    <x v="3"/>
    <n v="7"/>
    <n v="80"/>
    <n v="560"/>
    <n v="0.02"/>
    <n v="11.200000000000001"/>
    <x v="2"/>
  </r>
  <r>
    <s v="order_id = 1098"/>
    <x v="14"/>
    <x v="3"/>
    <x v="4"/>
    <n v="22"/>
    <n v="16"/>
    <n v="352"/>
    <n v="0.12"/>
    <n v="42.239999999999995"/>
    <x v="3"/>
  </r>
  <r>
    <s v="order_id = 1099"/>
    <x v="14"/>
    <x v="1"/>
    <x v="1"/>
    <n v="21"/>
    <n v="40"/>
    <n v="840"/>
    <n v="0.03"/>
    <n v="25.2"/>
    <x v="4"/>
  </r>
  <r>
    <s v="order_id = 1100"/>
    <x v="14"/>
    <x v="0"/>
    <x v="0"/>
    <n v="6"/>
    <n v="80"/>
    <n v="480"/>
    <n v="0.01"/>
    <n v="4.8"/>
    <x v="5"/>
  </r>
  <r>
    <s v="order_id = 1101"/>
    <x v="14"/>
    <x v="0"/>
    <x v="4"/>
    <n v="13"/>
    <n v="80"/>
    <n v="1040"/>
    <n v="0.05"/>
    <n v="52"/>
    <x v="1"/>
  </r>
  <r>
    <s v="order_id = 1102"/>
    <x v="14"/>
    <x v="0"/>
    <x v="3"/>
    <n v="11"/>
    <n v="80"/>
    <n v="880"/>
    <n v="0.01"/>
    <n v="8.8000000000000007"/>
    <x v="2"/>
  </r>
  <r>
    <s v="order_id = 1103"/>
    <x v="14"/>
    <x v="1"/>
    <x v="0"/>
    <n v="18"/>
    <n v="40"/>
    <n v="720"/>
    <n v="0.06"/>
    <n v="43.199999999999996"/>
    <x v="3"/>
  </r>
  <r>
    <s v="order_id = 1104"/>
    <x v="14"/>
    <x v="4"/>
    <x v="3"/>
    <n v="7"/>
    <n v="150"/>
    <n v="1050"/>
    <n v="0.05"/>
    <n v="52.5"/>
    <x v="4"/>
  </r>
  <r>
    <s v="order_id = 1105"/>
    <x v="14"/>
    <x v="1"/>
    <x v="0"/>
    <n v="2"/>
    <n v="40"/>
    <n v="80"/>
    <n v="0.12"/>
    <n v="9.6"/>
    <x v="5"/>
  </r>
  <r>
    <s v="order_id = 1106"/>
    <x v="14"/>
    <x v="0"/>
    <x v="1"/>
    <n v="14"/>
    <n v="80"/>
    <n v="1120"/>
    <n v="0.06"/>
    <n v="67.2"/>
    <x v="6"/>
  </r>
  <r>
    <s v="order_id = 1107"/>
    <x v="14"/>
    <x v="4"/>
    <x v="4"/>
    <n v="7"/>
    <n v="150"/>
    <n v="1050"/>
    <n v="0.03"/>
    <n v="31.5"/>
    <x v="7"/>
  </r>
  <r>
    <s v="order_id = 1108"/>
    <x v="14"/>
    <x v="3"/>
    <x v="3"/>
    <n v="10"/>
    <n v="16"/>
    <n v="160"/>
    <n v="0.01"/>
    <n v="1.6"/>
    <x v="8"/>
  </r>
  <r>
    <s v="order_id = 1109"/>
    <x v="15"/>
    <x v="1"/>
    <x v="1"/>
    <n v="7"/>
    <n v="40"/>
    <n v="280"/>
    <n v="0.01"/>
    <n v="2.8000000000000003"/>
    <x v="9"/>
  </r>
  <r>
    <s v="order_id = 1110"/>
    <x v="15"/>
    <x v="3"/>
    <x v="3"/>
    <n v="7"/>
    <n v="16"/>
    <n v="112"/>
    <n v="0.08"/>
    <n v="8.9600000000000009"/>
    <x v="10"/>
  </r>
  <r>
    <s v="order_id = 1111"/>
    <x v="15"/>
    <x v="4"/>
    <x v="2"/>
    <n v="15"/>
    <n v="150"/>
    <n v="2250"/>
    <n v="0.05"/>
    <n v="112.5"/>
    <x v="11"/>
  </r>
  <r>
    <s v="order_id = 1112"/>
    <x v="15"/>
    <x v="0"/>
    <x v="0"/>
    <n v="7"/>
    <n v="80"/>
    <n v="560"/>
    <n v="0.02"/>
    <n v="11.200000000000001"/>
    <x v="0"/>
  </r>
  <r>
    <s v="order_id = 1113"/>
    <x v="15"/>
    <x v="1"/>
    <x v="2"/>
    <n v="6"/>
    <n v="40"/>
    <n v="240"/>
    <n v="0.06"/>
    <n v="14.399999999999999"/>
    <x v="1"/>
  </r>
  <r>
    <s v="order_id = 1114"/>
    <x v="15"/>
    <x v="2"/>
    <x v="0"/>
    <n v="3"/>
    <n v="230"/>
    <n v="690"/>
    <n v="0.06"/>
    <n v="41.4"/>
    <x v="2"/>
  </r>
  <r>
    <s v="order_id = 1115"/>
    <x v="15"/>
    <x v="4"/>
    <x v="2"/>
    <n v="20"/>
    <n v="150"/>
    <n v="3000"/>
    <n v="0.04"/>
    <n v="120"/>
    <x v="3"/>
  </r>
  <r>
    <s v="order_id = 1116"/>
    <x v="15"/>
    <x v="2"/>
    <x v="2"/>
    <n v="20"/>
    <n v="230"/>
    <n v="4600"/>
    <n v="0.06"/>
    <n v="276"/>
    <x v="4"/>
  </r>
  <r>
    <s v="order_id = 1117"/>
    <x v="15"/>
    <x v="3"/>
    <x v="2"/>
    <n v="14"/>
    <n v="16"/>
    <n v="224"/>
    <n v="0.01"/>
    <n v="2.2400000000000002"/>
    <x v="5"/>
  </r>
  <r>
    <s v="order_id = 1118"/>
    <x v="15"/>
    <x v="4"/>
    <x v="2"/>
    <n v="20"/>
    <n v="150"/>
    <n v="3000"/>
    <n v="0.04"/>
    <n v="120"/>
    <x v="1"/>
  </r>
  <r>
    <s v="order_id = 1119"/>
    <x v="15"/>
    <x v="0"/>
    <x v="0"/>
    <n v="17"/>
    <n v="80"/>
    <n v="1360"/>
    <n v="0.09"/>
    <n v="122.39999999999999"/>
    <x v="2"/>
  </r>
  <r>
    <s v="order_id = 1120"/>
    <x v="16"/>
    <x v="4"/>
    <x v="2"/>
    <n v="20"/>
    <n v="150"/>
    <n v="3000"/>
    <n v="0.12"/>
    <n v="360"/>
    <x v="3"/>
  </r>
  <r>
    <s v="order_id = 1121"/>
    <x v="16"/>
    <x v="3"/>
    <x v="2"/>
    <n v="11"/>
    <n v="16"/>
    <n v="176"/>
    <n v="0.04"/>
    <n v="7.04"/>
    <x v="4"/>
  </r>
  <r>
    <s v="order_id = 1122"/>
    <x v="16"/>
    <x v="2"/>
    <x v="4"/>
    <n v="7"/>
    <n v="230"/>
    <n v="1610"/>
    <n v="0.05"/>
    <n v="80.5"/>
    <x v="5"/>
  </r>
  <r>
    <s v="order_id = 1123"/>
    <x v="16"/>
    <x v="1"/>
    <x v="1"/>
    <n v="14"/>
    <n v="40"/>
    <n v="560"/>
    <n v="0.06"/>
    <n v="33.6"/>
    <x v="6"/>
  </r>
  <r>
    <s v="order_id = 1124"/>
    <x v="16"/>
    <x v="0"/>
    <x v="1"/>
    <n v="13"/>
    <n v="80"/>
    <n v="1040"/>
    <n v="0.06"/>
    <n v="62.4"/>
    <x v="7"/>
  </r>
  <r>
    <s v="order_id = 1125"/>
    <x v="16"/>
    <x v="3"/>
    <x v="2"/>
    <n v="17"/>
    <n v="16"/>
    <n v="272"/>
    <n v="0.05"/>
    <n v="13.600000000000001"/>
    <x v="8"/>
  </r>
  <r>
    <s v="order_id = 1126"/>
    <x v="16"/>
    <x v="2"/>
    <x v="2"/>
    <n v="12"/>
    <n v="230"/>
    <n v="2760"/>
    <n v="0.03"/>
    <n v="82.8"/>
    <x v="9"/>
  </r>
  <r>
    <s v="order_id = 1127"/>
    <x v="16"/>
    <x v="1"/>
    <x v="1"/>
    <n v="4"/>
    <n v="40"/>
    <n v="160"/>
    <n v="0.12"/>
    <n v="19.2"/>
    <x v="10"/>
  </r>
  <r>
    <s v="order_id = 1128"/>
    <x v="16"/>
    <x v="3"/>
    <x v="0"/>
    <n v="20"/>
    <n v="16"/>
    <n v="320"/>
    <n v="0.01"/>
    <n v="3.2"/>
    <x v="11"/>
  </r>
  <r>
    <s v="order_id = 1129"/>
    <x v="16"/>
    <x v="0"/>
    <x v="3"/>
    <n v="8"/>
    <n v="80"/>
    <n v="640"/>
    <n v="0.06"/>
    <n v="38.4"/>
    <x v="0"/>
  </r>
  <r>
    <s v="order_id = 1130"/>
    <x v="16"/>
    <x v="0"/>
    <x v="0"/>
    <n v="18"/>
    <n v="80"/>
    <n v="1440"/>
    <n v="0.02"/>
    <n v="28.8"/>
    <x v="1"/>
  </r>
  <r>
    <s v="order_id = 1131"/>
    <x v="16"/>
    <x v="3"/>
    <x v="2"/>
    <n v="6"/>
    <n v="16"/>
    <n v="96"/>
    <n v="0.06"/>
    <n v="5.76"/>
    <x v="2"/>
  </r>
  <r>
    <s v="order_id = 1132"/>
    <x v="16"/>
    <x v="0"/>
    <x v="0"/>
    <n v="9"/>
    <n v="80"/>
    <n v="720"/>
    <n v="0.04"/>
    <n v="28.8"/>
    <x v="3"/>
  </r>
  <r>
    <s v="order_id = 1133"/>
    <x v="17"/>
    <x v="0"/>
    <x v="2"/>
    <n v="8"/>
    <n v="80"/>
    <n v="640"/>
    <n v="0.02"/>
    <n v="12.8"/>
    <x v="4"/>
  </r>
  <r>
    <s v="order_id = 1134"/>
    <x v="17"/>
    <x v="4"/>
    <x v="3"/>
    <n v="6"/>
    <n v="150"/>
    <n v="900"/>
    <n v="0.03"/>
    <n v="27"/>
    <x v="5"/>
  </r>
  <r>
    <s v="order_id = 1135"/>
    <x v="17"/>
    <x v="3"/>
    <x v="3"/>
    <n v="14"/>
    <n v="16"/>
    <n v="224"/>
    <n v="0.12"/>
    <n v="26.88"/>
    <x v="1"/>
  </r>
  <r>
    <s v="order_id = 1136"/>
    <x v="17"/>
    <x v="0"/>
    <x v="2"/>
    <n v="6"/>
    <n v="80"/>
    <n v="480"/>
    <n v="0.09"/>
    <n v="43.199999999999996"/>
    <x v="2"/>
  </r>
  <r>
    <s v="order_id = 1137"/>
    <x v="17"/>
    <x v="1"/>
    <x v="4"/>
    <n v="23"/>
    <n v="40"/>
    <n v="920"/>
    <n v="0.04"/>
    <n v="36.800000000000004"/>
    <x v="3"/>
  </r>
  <r>
    <s v="order_id = 1138"/>
    <x v="17"/>
    <x v="1"/>
    <x v="2"/>
    <n v="12"/>
    <n v="40"/>
    <n v="480"/>
    <n v="0.02"/>
    <n v="9.6"/>
    <x v="4"/>
  </r>
  <r>
    <s v="order_id = 1139"/>
    <x v="17"/>
    <x v="1"/>
    <x v="3"/>
    <n v="22"/>
    <n v="40"/>
    <n v="880"/>
    <n v="0.01"/>
    <n v="8.8000000000000007"/>
    <x v="5"/>
  </r>
  <r>
    <s v="order_id = 1140"/>
    <x v="17"/>
    <x v="4"/>
    <x v="3"/>
    <n v="6"/>
    <n v="150"/>
    <n v="900"/>
    <n v="0.03"/>
    <n v="27"/>
    <x v="6"/>
  </r>
  <r>
    <s v="order_id = 1141"/>
    <x v="17"/>
    <x v="3"/>
    <x v="4"/>
    <n v="19"/>
    <n v="16"/>
    <n v="304"/>
    <n v="0.02"/>
    <n v="6.08"/>
    <x v="7"/>
  </r>
  <r>
    <s v="order_id = 1142"/>
    <x v="17"/>
    <x v="1"/>
    <x v="2"/>
    <n v="2"/>
    <n v="40"/>
    <n v="80"/>
    <n v="0.02"/>
    <n v="1.6"/>
    <x v="8"/>
  </r>
  <r>
    <s v="order_id = 1143"/>
    <x v="18"/>
    <x v="1"/>
    <x v="3"/>
    <n v="22"/>
    <n v="40"/>
    <n v="880"/>
    <n v="0.01"/>
    <n v="8.8000000000000007"/>
    <x v="9"/>
  </r>
  <r>
    <s v="order_id = 1144"/>
    <x v="18"/>
    <x v="2"/>
    <x v="3"/>
    <n v="3"/>
    <n v="230"/>
    <n v="690"/>
    <n v="0.01"/>
    <n v="6.9"/>
    <x v="10"/>
  </r>
  <r>
    <s v="order_id = 1145"/>
    <x v="18"/>
    <x v="1"/>
    <x v="3"/>
    <n v="23"/>
    <n v="40"/>
    <n v="920"/>
    <n v="0.06"/>
    <n v="55.199999999999996"/>
    <x v="11"/>
  </r>
  <r>
    <s v="order_id = 1146"/>
    <x v="18"/>
    <x v="1"/>
    <x v="4"/>
    <n v="5"/>
    <n v="40"/>
    <n v="200"/>
    <n v="0.03"/>
    <n v="6"/>
    <x v="0"/>
  </r>
  <r>
    <s v="order_id = 1147"/>
    <x v="18"/>
    <x v="0"/>
    <x v="0"/>
    <n v="8"/>
    <n v="80"/>
    <n v="640"/>
    <n v="0.08"/>
    <n v="51.2"/>
    <x v="1"/>
  </r>
  <r>
    <s v="order_id = 1148"/>
    <x v="18"/>
    <x v="1"/>
    <x v="2"/>
    <n v="18"/>
    <n v="40"/>
    <n v="720"/>
    <n v="0.03"/>
    <n v="21.599999999999998"/>
    <x v="2"/>
  </r>
  <r>
    <s v="order_id = 1149"/>
    <x v="18"/>
    <x v="1"/>
    <x v="4"/>
    <n v="20"/>
    <n v="40"/>
    <n v="800"/>
    <n v="0.1"/>
    <n v="80"/>
    <x v="3"/>
  </r>
  <r>
    <s v="order_id = 1150"/>
    <x v="18"/>
    <x v="1"/>
    <x v="2"/>
    <n v="2"/>
    <n v="40"/>
    <n v="80"/>
    <n v="0.03"/>
    <n v="2.4"/>
    <x v="4"/>
  </r>
  <r>
    <s v="order_id = 1151"/>
    <x v="18"/>
    <x v="2"/>
    <x v="0"/>
    <n v="15"/>
    <n v="230"/>
    <n v="3450"/>
    <n v="0.05"/>
    <n v="172.5"/>
    <x v="5"/>
  </r>
  <r>
    <s v="order_id = 1152"/>
    <x v="18"/>
    <x v="4"/>
    <x v="3"/>
    <n v="15"/>
    <n v="150"/>
    <n v="2250"/>
    <n v="0.08"/>
    <n v="180"/>
    <x v="1"/>
  </r>
  <r>
    <s v="order_id = 1153"/>
    <x v="18"/>
    <x v="4"/>
    <x v="3"/>
    <n v="22"/>
    <n v="150"/>
    <n v="3300"/>
    <n v="0.05"/>
    <n v="165"/>
    <x v="2"/>
  </r>
  <r>
    <s v="order_id = 1154"/>
    <x v="18"/>
    <x v="2"/>
    <x v="1"/>
    <n v="19"/>
    <n v="230"/>
    <n v="4370"/>
    <n v="0.11"/>
    <n v="480.7"/>
    <x v="3"/>
  </r>
  <r>
    <s v="order_id = 1155"/>
    <x v="18"/>
    <x v="0"/>
    <x v="1"/>
    <n v="10"/>
    <n v="80"/>
    <n v="800"/>
    <n v="0.11"/>
    <n v="88"/>
    <x v="4"/>
  </r>
  <r>
    <s v="order_id = 1156"/>
    <x v="18"/>
    <x v="1"/>
    <x v="3"/>
    <n v="18"/>
    <n v="40"/>
    <n v="720"/>
    <n v="0.06"/>
    <n v="43.199999999999996"/>
    <x v="5"/>
  </r>
  <r>
    <s v="order_id = 1157"/>
    <x v="18"/>
    <x v="0"/>
    <x v="3"/>
    <n v="16"/>
    <n v="80"/>
    <n v="1280"/>
    <n v="0.05"/>
    <n v="64"/>
    <x v="6"/>
  </r>
  <r>
    <s v="order_id = 1158"/>
    <x v="18"/>
    <x v="4"/>
    <x v="4"/>
    <n v="17"/>
    <n v="150"/>
    <n v="2550"/>
    <n v="0.02"/>
    <n v="51"/>
    <x v="7"/>
  </r>
  <r>
    <s v="order_id = 1159"/>
    <x v="19"/>
    <x v="2"/>
    <x v="0"/>
    <n v="8"/>
    <n v="230"/>
    <n v="1840"/>
    <n v="0.03"/>
    <n v="55.199999999999996"/>
    <x v="8"/>
  </r>
  <r>
    <s v="order_id = 1160"/>
    <x v="19"/>
    <x v="0"/>
    <x v="3"/>
    <n v="11"/>
    <n v="80"/>
    <n v="880"/>
    <n v="0.01"/>
    <n v="8.8000000000000007"/>
    <x v="9"/>
  </r>
  <r>
    <s v="order_id = 1161"/>
    <x v="19"/>
    <x v="1"/>
    <x v="0"/>
    <n v="5"/>
    <n v="40"/>
    <n v="200"/>
    <n v="0.06"/>
    <n v="12"/>
    <x v="10"/>
  </r>
  <r>
    <s v="order_id = 1162"/>
    <x v="19"/>
    <x v="1"/>
    <x v="4"/>
    <n v="11"/>
    <n v="40"/>
    <n v="440"/>
    <n v="0.05"/>
    <n v="22"/>
    <x v="11"/>
  </r>
  <r>
    <s v="order_id = 1163"/>
    <x v="19"/>
    <x v="4"/>
    <x v="3"/>
    <n v="20"/>
    <n v="150"/>
    <n v="3000"/>
    <n v="0.1"/>
    <n v="300"/>
    <x v="0"/>
  </r>
  <r>
    <s v="order_id = 1164"/>
    <x v="19"/>
    <x v="4"/>
    <x v="2"/>
    <n v="11"/>
    <n v="150"/>
    <n v="1650"/>
    <n v="0.11"/>
    <n v="181.5"/>
    <x v="1"/>
  </r>
  <r>
    <s v="order_id = 1165"/>
    <x v="19"/>
    <x v="0"/>
    <x v="3"/>
    <n v="2"/>
    <n v="80"/>
    <n v="160"/>
    <n v="0.08"/>
    <n v="12.8"/>
    <x v="2"/>
  </r>
  <r>
    <s v="order_id = 1166"/>
    <x v="19"/>
    <x v="4"/>
    <x v="1"/>
    <n v="16"/>
    <n v="150"/>
    <n v="2400"/>
    <n v="0.08"/>
    <n v="192"/>
    <x v="3"/>
  </r>
  <r>
    <s v="order_id = 1167"/>
    <x v="19"/>
    <x v="3"/>
    <x v="0"/>
    <n v="20"/>
    <n v="16"/>
    <n v="320"/>
    <n v="0.11"/>
    <n v="35.200000000000003"/>
    <x v="4"/>
  </r>
  <r>
    <s v="order_id = 1168"/>
    <x v="19"/>
    <x v="2"/>
    <x v="2"/>
    <n v="2"/>
    <n v="230"/>
    <n v="460"/>
    <n v="0.09"/>
    <n v="41.4"/>
    <x v="5"/>
  </r>
  <r>
    <s v="order_id = 1169"/>
    <x v="19"/>
    <x v="4"/>
    <x v="0"/>
    <n v="20"/>
    <n v="150"/>
    <n v="3000"/>
    <n v="0.04"/>
    <n v="120"/>
    <x v="1"/>
  </r>
  <r>
    <s v="order_id = 1170"/>
    <x v="19"/>
    <x v="4"/>
    <x v="0"/>
    <n v="22"/>
    <n v="150"/>
    <n v="3300"/>
    <n v="7.0000000000000007E-2"/>
    <n v="231.00000000000003"/>
    <x v="2"/>
  </r>
  <r>
    <s v="order_id = 1171"/>
    <x v="19"/>
    <x v="4"/>
    <x v="2"/>
    <n v="22"/>
    <n v="150"/>
    <n v="3300"/>
    <n v="0.04"/>
    <n v="132"/>
    <x v="3"/>
  </r>
  <r>
    <s v="order_id = 1172"/>
    <x v="19"/>
    <x v="1"/>
    <x v="0"/>
    <n v="23"/>
    <n v="40"/>
    <n v="920"/>
    <n v="7.0000000000000007E-2"/>
    <n v="64.400000000000006"/>
    <x v="4"/>
  </r>
  <r>
    <s v="order_id = 1173"/>
    <x v="20"/>
    <x v="3"/>
    <x v="2"/>
    <n v="11"/>
    <n v="16"/>
    <n v="176"/>
    <n v="0.04"/>
    <n v="7.04"/>
    <x v="5"/>
  </r>
  <r>
    <s v="order_id = 1174"/>
    <x v="20"/>
    <x v="2"/>
    <x v="1"/>
    <n v="11"/>
    <n v="230"/>
    <n v="2530"/>
    <n v="0.1"/>
    <n v="253"/>
    <x v="6"/>
  </r>
  <r>
    <s v="order_id = 1175"/>
    <x v="20"/>
    <x v="2"/>
    <x v="0"/>
    <n v="7"/>
    <n v="230"/>
    <n v="1610"/>
    <n v="0.08"/>
    <n v="128.80000000000001"/>
    <x v="7"/>
  </r>
  <r>
    <s v="order_id = 1176"/>
    <x v="20"/>
    <x v="2"/>
    <x v="3"/>
    <n v="16"/>
    <n v="230"/>
    <n v="3680"/>
    <n v="0.11"/>
    <n v="404.8"/>
    <x v="9"/>
  </r>
  <r>
    <s v="order_id = 1177"/>
    <x v="20"/>
    <x v="2"/>
    <x v="4"/>
    <n v="20"/>
    <n v="230"/>
    <n v="4600"/>
    <n v="0.09"/>
    <n v="414"/>
    <x v="10"/>
  </r>
  <r>
    <s v="order_id = 1178"/>
    <x v="20"/>
    <x v="1"/>
    <x v="2"/>
    <n v="20"/>
    <n v="40"/>
    <n v="800"/>
    <n v="0.01"/>
    <n v="8"/>
    <x v="11"/>
  </r>
  <r>
    <s v="order_id = 1179"/>
    <x v="20"/>
    <x v="0"/>
    <x v="0"/>
    <n v="20"/>
    <n v="80"/>
    <n v="1600"/>
    <n v="0.01"/>
    <n v="16"/>
    <x v="0"/>
  </r>
  <r>
    <s v="order_id = 1180"/>
    <x v="20"/>
    <x v="4"/>
    <x v="0"/>
    <n v="5"/>
    <n v="150"/>
    <n v="750"/>
    <n v="0.11"/>
    <n v="82.5"/>
    <x v="1"/>
  </r>
  <r>
    <s v="order_id = 1181"/>
    <x v="21"/>
    <x v="1"/>
    <x v="2"/>
    <n v="4"/>
    <n v="40"/>
    <n v="160"/>
    <n v="0.11"/>
    <n v="17.600000000000001"/>
    <x v="2"/>
  </r>
  <r>
    <s v="order_id = 1182"/>
    <x v="21"/>
    <x v="3"/>
    <x v="0"/>
    <n v="7"/>
    <n v="16"/>
    <n v="112"/>
    <n v="0.12"/>
    <n v="13.44"/>
    <x v="3"/>
  </r>
  <r>
    <s v="order_id = 1183"/>
    <x v="21"/>
    <x v="3"/>
    <x v="1"/>
    <n v="22"/>
    <n v="16"/>
    <n v="352"/>
    <n v="0.01"/>
    <n v="3.52"/>
    <x v="4"/>
  </r>
  <r>
    <s v="order_id = 1184"/>
    <x v="21"/>
    <x v="1"/>
    <x v="3"/>
    <n v="15"/>
    <n v="40"/>
    <n v="600"/>
    <n v="0.03"/>
    <n v="18"/>
    <x v="5"/>
  </r>
  <r>
    <s v="order_id = 1185"/>
    <x v="21"/>
    <x v="0"/>
    <x v="1"/>
    <n v="14"/>
    <n v="80"/>
    <n v="1120"/>
    <n v="0.11"/>
    <n v="123.2"/>
    <x v="1"/>
  </r>
  <r>
    <s v="order_id = 1186"/>
    <x v="21"/>
    <x v="3"/>
    <x v="1"/>
    <n v="15"/>
    <n v="16"/>
    <n v="240"/>
    <n v="0.02"/>
    <n v="4.8"/>
    <x v="2"/>
  </r>
  <r>
    <s v="order_id = 1187"/>
    <x v="22"/>
    <x v="0"/>
    <x v="3"/>
    <n v="19"/>
    <n v="80"/>
    <n v="1520"/>
    <n v="0.02"/>
    <n v="30.400000000000002"/>
    <x v="3"/>
  </r>
  <r>
    <s v="order_id = 1188"/>
    <x v="22"/>
    <x v="1"/>
    <x v="4"/>
    <n v="20"/>
    <n v="40"/>
    <n v="800"/>
    <n v="0.05"/>
    <n v="40"/>
    <x v="4"/>
  </r>
  <r>
    <s v="order_id = 1189"/>
    <x v="22"/>
    <x v="1"/>
    <x v="3"/>
    <n v="11"/>
    <n v="40"/>
    <n v="440"/>
    <n v="0.06"/>
    <n v="26.4"/>
    <x v="5"/>
  </r>
  <r>
    <s v="order_id = 1190"/>
    <x v="22"/>
    <x v="4"/>
    <x v="2"/>
    <n v="11"/>
    <n v="150"/>
    <n v="1650"/>
    <n v="0.05"/>
    <n v="82.5"/>
    <x v="6"/>
  </r>
  <r>
    <s v="order_id = 1191"/>
    <x v="22"/>
    <x v="0"/>
    <x v="3"/>
    <n v="23"/>
    <n v="80"/>
    <n v="1840"/>
    <n v="0.11"/>
    <n v="202.4"/>
    <x v="7"/>
  </r>
  <r>
    <s v="order_id = 1192"/>
    <x v="22"/>
    <x v="0"/>
    <x v="0"/>
    <n v="8"/>
    <n v="80"/>
    <n v="640"/>
    <n v="0.09"/>
    <n v="57.599999999999994"/>
    <x v="8"/>
  </r>
  <r>
    <s v="order_id = 1193"/>
    <x v="22"/>
    <x v="1"/>
    <x v="3"/>
    <n v="9"/>
    <n v="40"/>
    <n v="360"/>
    <n v="0.06"/>
    <n v="21.599999999999998"/>
    <x v="9"/>
  </r>
  <r>
    <s v="order_id = 1194"/>
    <x v="22"/>
    <x v="2"/>
    <x v="4"/>
    <n v="13"/>
    <n v="230"/>
    <n v="2990"/>
    <n v="0.06"/>
    <n v="179.4"/>
    <x v="10"/>
  </r>
  <r>
    <s v="order_id = 1195"/>
    <x v="22"/>
    <x v="1"/>
    <x v="3"/>
    <n v="22"/>
    <n v="40"/>
    <n v="880"/>
    <n v="0.01"/>
    <n v="8.8000000000000007"/>
    <x v="11"/>
  </r>
  <r>
    <s v="order_id = 1196"/>
    <x v="22"/>
    <x v="3"/>
    <x v="4"/>
    <n v="14"/>
    <n v="16"/>
    <n v="224"/>
    <n v="0.06"/>
    <n v="13.44"/>
    <x v="0"/>
  </r>
  <r>
    <s v="order_id = 1197"/>
    <x v="23"/>
    <x v="0"/>
    <x v="1"/>
    <n v="5"/>
    <n v="80"/>
    <n v="400"/>
    <n v="0.04"/>
    <n v="16"/>
    <x v="1"/>
  </r>
  <r>
    <s v="order_id = 1198"/>
    <x v="23"/>
    <x v="4"/>
    <x v="4"/>
    <n v="18"/>
    <n v="150"/>
    <n v="2700"/>
    <n v="0.12"/>
    <n v="324"/>
    <x v="2"/>
  </r>
  <r>
    <s v="order_id = 1199"/>
    <x v="23"/>
    <x v="2"/>
    <x v="2"/>
    <n v="14"/>
    <n v="230"/>
    <n v="3220"/>
    <n v="0.12"/>
    <n v="386.4"/>
    <x v="3"/>
  </r>
  <r>
    <s v="order_id = 1200"/>
    <x v="23"/>
    <x v="2"/>
    <x v="4"/>
    <n v="20"/>
    <n v="230"/>
    <n v="4600"/>
    <n v="0.11"/>
    <n v="506"/>
    <x v="4"/>
  </r>
  <r>
    <s v="order_id = 1201"/>
    <x v="23"/>
    <x v="3"/>
    <x v="4"/>
    <n v="3"/>
    <n v="16"/>
    <n v="48"/>
    <n v="0.03"/>
    <n v="1.44"/>
    <x v="5"/>
  </r>
  <r>
    <s v="order_id = 1202"/>
    <x v="23"/>
    <x v="2"/>
    <x v="2"/>
    <n v="20"/>
    <n v="230"/>
    <n v="4600"/>
    <n v="0.06"/>
    <n v="276"/>
    <x v="1"/>
  </r>
  <r>
    <s v="order_id = 1203"/>
    <x v="23"/>
    <x v="0"/>
    <x v="4"/>
    <n v="9"/>
    <n v="80"/>
    <n v="720"/>
    <n v="0.02"/>
    <n v="14.4"/>
    <x v="2"/>
  </r>
  <r>
    <s v="order_id = 1204"/>
    <x v="23"/>
    <x v="3"/>
    <x v="3"/>
    <n v="22"/>
    <n v="16"/>
    <n v="352"/>
    <n v="0.03"/>
    <n v="10.559999999999999"/>
    <x v="3"/>
  </r>
  <r>
    <s v="order_id = 1205"/>
    <x v="23"/>
    <x v="0"/>
    <x v="1"/>
    <n v="15"/>
    <n v="80"/>
    <n v="1200"/>
    <n v="0.12"/>
    <n v="144"/>
    <x v="4"/>
  </r>
  <r>
    <s v="order_id = 1206"/>
    <x v="23"/>
    <x v="4"/>
    <x v="0"/>
    <n v="11"/>
    <n v="150"/>
    <n v="1650"/>
    <n v="0.05"/>
    <n v="82.5"/>
    <x v="5"/>
  </r>
  <r>
    <s v="order_id = 1207"/>
    <x v="23"/>
    <x v="2"/>
    <x v="3"/>
    <n v="11"/>
    <n v="230"/>
    <n v="2530"/>
    <n v="0.12"/>
    <n v="303.59999999999997"/>
    <x v="6"/>
  </r>
  <r>
    <s v="order_id = 1208"/>
    <x v="23"/>
    <x v="4"/>
    <x v="0"/>
    <n v="20"/>
    <n v="150"/>
    <n v="3000"/>
    <n v="0.01"/>
    <n v="30"/>
    <x v="7"/>
  </r>
  <r>
    <s v="order_id = 1209"/>
    <x v="23"/>
    <x v="1"/>
    <x v="2"/>
    <n v="11"/>
    <n v="40"/>
    <n v="440"/>
    <n v="0.12"/>
    <n v="52.8"/>
    <x v="8"/>
  </r>
  <r>
    <s v="order_id = 1210"/>
    <x v="24"/>
    <x v="2"/>
    <x v="2"/>
    <n v="12"/>
    <n v="230"/>
    <n v="2760"/>
    <n v="0.06"/>
    <n v="165.6"/>
    <x v="9"/>
  </r>
  <r>
    <s v="order_id = 1211"/>
    <x v="24"/>
    <x v="1"/>
    <x v="0"/>
    <n v="15"/>
    <n v="40"/>
    <n v="600"/>
    <n v="0.06"/>
    <n v="36"/>
    <x v="10"/>
  </r>
  <r>
    <s v="order_id = 1212"/>
    <x v="24"/>
    <x v="1"/>
    <x v="3"/>
    <n v="13"/>
    <n v="40"/>
    <n v="520"/>
    <n v="0.09"/>
    <n v="46.8"/>
    <x v="11"/>
  </r>
  <r>
    <s v="order_id = 1213"/>
    <x v="24"/>
    <x v="1"/>
    <x v="4"/>
    <n v="4"/>
    <n v="40"/>
    <n v="160"/>
    <n v="0.09"/>
    <n v="14.399999999999999"/>
    <x v="0"/>
  </r>
  <r>
    <s v="order_id = 1214"/>
    <x v="24"/>
    <x v="2"/>
    <x v="3"/>
    <n v="18"/>
    <n v="230"/>
    <n v="4140"/>
    <n v="0.01"/>
    <n v="41.4"/>
    <x v="1"/>
  </r>
  <r>
    <s v="order_id = 1215"/>
    <x v="24"/>
    <x v="3"/>
    <x v="0"/>
    <n v="7"/>
    <n v="16"/>
    <n v="112"/>
    <n v="0.02"/>
    <n v="2.2400000000000002"/>
    <x v="2"/>
  </r>
  <r>
    <s v="order_id = 1216"/>
    <x v="24"/>
    <x v="3"/>
    <x v="2"/>
    <n v="6"/>
    <n v="16"/>
    <n v="96"/>
    <n v="7.0000000000000007E-2"/>
    <n v="6.7200000000000006"/>
    <x v="3"/>
  </r>
  <r>
    <s v="order_id = 1217"/>
    <x v="24"/>
    <x v="2"/>
    <x v="3"/>
    <n v="8"/>
    <n v="230"/>
    <n v="1840"/>
    <n v="0.05"/>
    <n v="92"/>
    <x v="4"/>
  </r>
  <r>
    <s v="order_id = 1218"/>
    <x v="24"/>
    <x v="3"/>
    <x v="2"/>
    <n v="12"/>
    <n v="16"/>
    <n v="192"/>
    <n v="0.11"/>
    <n v="21.12"/>
    <x v="5"/>
  </r>
  <r>
    <s v="order_id = 1219"/>
    <x v="24"/>
    <x v="2"/>
    <x v="0"/>
    <n v="11"/>
    <n v="230"/>
    <n v="2530"/>
    <n v="0.02"/>
    <n v="50.6"/>
    <x v="1"/>
  </r>
  <r>
    <s v="order_id = 1220"/>
    <x v="24"/>
    <x v="3"/>
    <x v="2"/>
    <n v="3"/>
    <n v="16"/>
    <n v="48"/>
    <n v="0.05"/>
    <n v="2.4000000000000004"/>
    <x v="2"/>
  </r>
  <r>
    <s v="order_id = 1221"/>
    <x v="25"/>
    <x v="4"/>
    <x v="1"/>
    <n v="16"/>
    <n v="150"/>
    <n v="2400"/>
    <n v="0.05"/>
    <n v="120"/>
    <x v="3"/>
  </r>
  <r>
    <s v="order_id = 1222"/>
    <x v="25"/>
    <x v="2"/>
    <x v="3"/>
    <n v="8"/>
    <n v="230"/>
    <n v="1840"/>
    <n v="0.01"/>
    <n v="18.400000000000002"/>
    <x v="4"/>
  </r>
  <r>
    <s v="order_id = 1223"/>
    <x v="25"/>
    <x v="0"/>
    <x v="2"/>
    <n v="16"/>
    <n v="80"/>
    <n v="1280"/>
    <n v="0.04"/>
    <n v="51.2"/>
    <x v="5"/>
  </r>
  <r>
    <s v="order_id = 1224"/>
    <x v="25"/>
    <x v="3"/>
    <x v="3"/>
    <n v="18"/>
    <n v="16"/>
    <n v="288"/>
    <n v="0.04"/>
    <n v="11.52"/>
    <x v="6"/>
  </r>
  <r>
    <s v="order_id = 1225"/>
    <x v="25"/>
    <x v="1"/>
    <x v="4"/>
    <n v="14"/>
    <n v="40"/>
    <n v="560"/>
    <n v="0.11"/>
    <n v="61.6"/>
    <x v="7"/>
  </r>
  <r>
    <s v="order_id = 1226"/>
    <x v="25"/>
    <x v="3"/>
    <x v="1"/>
    <n v="21"/>
    <n v="16"/>
    <n v="336"/>
    <n v="0.02"/>
    <n v="6.72"/>
    <x v="8"/>
  </r>
  <r>
    <s v="order_id = 1227"/>
    <x v="25"/>
    <x v="3"/>
    <x v="1"/>
    <n v="7"/>
    <n v="16"/>
    <n v="112"/>
    <n v="0.08"/>
    <n v="8.9600000000000009"/>
    <x v="9"/>
  </r>
  <r>
    <s v="order_id = 1228"/>
    <x v="25"/>
    <x v="0"/>
    <x v="2"/>
    <n v="7"/>
    <n v="80"/>
    <n v="560"/>
    <n v="0.05"/>
    <n v="28"/>
    <x v="10"/>
  </r>
  <r>
    <s v="order_id = 1229"/>
    <x v="25"/>
    <x v="1"/>
    <x v="4"/>
    <n v="16"/>
    <n v="40"/>
    <n v="640"/>
    <n v="0.09"/>
    <n v="57.599999999999994"/>
    <x v="11"/>
  </r>
  <r>
    <s v="order_id = 1230"/>
    <x v="25"/>
    <x v="2"/>
    <x v="4"/>
    <n v="22"/>
    <n v="230"/>
    <n v="5060"/>
    <n v="0.1"/>
    <n v="506"/>
    <x v="0"/>
  </r>
  <r>
    <s v="order_id = 1231"/>
    <x v="25"/>
    <x v="1"/>
    <x v="1"/>
    <n v="4"/>
    <n v="40"/>
    <n v="160"/>
    <n v="0.03"/>
    <n v="4.8"/>
    <x v="1"/>
  </r>
  <r>
    <s v="order_id = 1232"/>
    <x v="25"/>
    <x v="2"/>
    <x v="4"/>
    <n v="3"/>
    <n v="230"/>
    <n v="690"/>
    <n v="0.1"/>
    <n v="69"/>
    <x v="2"/>
  </r>
  <r>
    <s v="order_id = 1233"/>
    <x v="25"/>
    <x v="0"/>
    <x v="1"/>
    <n v="14"/>
    <n v="80"/>
    <n v="1120"/>
    <n v="0.11"/>
    <n v="123.2"/>
    <x v="3"/>
  </r>
  <r>
    <s v="order_id = 1234"/>
    <x v="26"/>
    <x v="1"/>
    <x v="4"/>
    <n v="21"/>
    <n v="40"/>
    <n v="840"/>
    <n v="0.01"/>
    <n v="8.4"/>
    <x v="4"/>
  </r>
  <r>
    <s v="order_id = 1235"/>
    <x v="26"/>
    <x v="3"/>
    <x v="1"/>
    <n v="20"/>
    <n v="16"/>
    <n v="320"/>
    <n v="0.06"/>
    <n v="19.2"/>
    <x v="5"/>
  </r>
  <r>
    <s v="order_id = 1236"/>
    <x v="26"/>
    <x v="0"/>
    <x v="4"/>
    <n v="22"/>
    <n v="80"/>
    <n v="1760"/>
    <n v="0.11"/>
    <n v="193.6"/>
    <x v="1"/>
  </r>
  <r>
    <s v="order_id = 1237"/>
    <x v="26"/>
    <x v="1"/>
    <x v="0"/>
    <n v="7"/>
    <n v="40"/>
    <n v="280"/>
    <n v="0.1"/>
    <n v="28"/>
    <x v="2"/>
  </r>
  <r>
    <s v="order_id = 1238"/>
    <x v="26"/>
    <x v="4"/>
    <x v="1"/>
    <n v="16"/>
    <n v="150"/>
    <n v="2400"/>
    <n v="0.05"/>
    <n v="120"/>
    <x v="3"/>
  </r>
  <r>
    <s v="order_id = 1239"/>
    <x v="26"/>
    <x v="2"/>
    <x v="1"/>
    <n v="7"/>
    <n v="230"/>
    <n v="1610"/>
    <n v="0.05"/>
    <n v="80.5"/>
    <x v="4"/>
  </r>
  <r>
    <s v="order_id = 1240"/>
    <x v="26"/>
    <x v="4"/>
    <x v="0"/>
    <n v="20"/>
    <n v="150"/>
    <n v="3000"/>
    <n v="0.03"/>
    <n v="90"/>
    <x v="5"/>
  </r>
  <r>
    <s v="order_id = 1241"/>
    <x v="26"/>
    <x v="4"/>
    <x v="1"/>
    <n v="16"/>
    <n v="150"/>
    <n v="2400"/>
    <n v="0.03"/>
    <n v="72"/>
    <x v="6"/>
  </r>
  <r>
    <s v="order_id = 1242"/>
    <x v="26"/>
    <x v="3"/>
    <x v="3"/>
    <n v="10"/>
    <n v="16"/>
    <n v="160"/>
    <n v="0.04"/>
    <n v="6.4"/>
    <x v="7"/>
  </r>
  <r>
    <s v="order_id = 1243"/>
    <x v="26"/>
    <x v="0"/>
    <x v="4"/>
    <n v="6"/>
    <n v="80"/>
    <n v="480"/>
    <n v="0.09"/>
    <n v="43.199999999999996"/>
    <x v="8"/>
  </r>
  <r>
    <s v="order_id = 1244"/>
    <x v="26"/>
    <x v="0"/>
    <x v="0"/>
    <n v="17"/>
    <n v="80"/>
    <n v="1360"/>
    <n v="0.09"/>
    <n v="122.39999999999999"/>
    <x v="9"/>
  </r>
  <r>
    <s v="order_id = 1245"/>
    <x v="26"/>
    <x v="1"/>
    <x v="0"/>
    <n v="19"/>
    <n v="40"/>
    <n v="760"/>
    <n v="0.04"/>
    <n v="30.400000000000002"/>
    <x v="10"/>
  </r>
  <r>
    <s v="order_id = 1246"/>
    <x v="26"/>
    <x v="1"/>
    <x v="4"/>
    <n v="16"/>
    <n v="40"/>
    <n v="640"/>
    <n v="0.09"/>
    <n v="57.599999999999994"/>
    <x v="11"/>
  </r>
  <r>
    <s v="order_id = 1247"/>
    <x v="26"/>
    <x v="3"/>
    <x v="0"/>
    <n v="4"/>
    <n v="16"/>
    <n v="64"/>
    <n v="0.12"/>
    <n v="7.68"/>
    <x v="0"/>
  </r>
  <r>
    <s v="order_id = 1248"/>
    <x v="26"/>
    <x v="4"/>
    <x v="3"/>
    <n v="9"/>
    <n v="150"/>
    <n v="1350"/>
    <n v="0.02"/>
    <n v="27"/>
    <x v="1"/>
  </r>
  <r>
    <s v="order_id = 1249"/>
    <x v="26"/>
    <x v="3"/>
    <x v="0"/>
    <n v="11"/>
    <n v="16"/>
    <n v="176"/>
    <n v="0.09"/>
    <n v="15.84"/>
    <x v="2"/>
  </r>
  <r>
    <s v="order_id = 1250"/>
    <x v="26"/>
    <x v="0"/>
    <x v="1"/>
    <n v="17"/>
    <n v="80"/>
    <n v="1360"/>
    <n v="0.03"/>
    <n v="40.799999999999997"/>
    <x v="3"/>
  </r>
  <r>
    <s v="order_id = 1251"/>
    <x v="27"/>
    <x v="4"/>
    <x v="0"/>
    <n v="3"/>
    <n v="150"/>
    <n v="450"/>
    <n v="0.03"/>
    <n v="13.5"/>
    <x v="4"/>
  </r>
  <r>
    <s v="order_id = 1252"/>
    <x v="27"/>
    <x v="2"/>
    <x v="3"/>
    <n v="2"/>
    <n v="230"/>
    <n v="460"/>
    <n v="0.08"/>
    <n v="36.800000000000004"/>
    <x v="5"/>
  </r>
  <r>
    <s v="order_id = 1253"/>
    <x v="27"/>
    <x v="2"/>
    <x v="3"/>
    <n v="17"/>
    <n v="230"/>
    <n v="3910"/>
    <n v="0.12"/>
    <n v="469.2"/>
    <x v="1"/>
  </r>
  <r>
    <s v="order_id = 1254"/>
    <x v="27"/>
    <x v="4"/>
    <x v="1"/>
    <n v="2"/>
    <n v="150"/>
    <n v="300"/>
    <n v="0.09"/>
    <n v="27"/>
    <x v="2"/>
  </r>
  <r>
    <s v="order_id = 1255"/>
    <x v="27"/>
    <x v="1"/>
    <x v="3"/>
    <n v="18"/>
    <n v="40"/>
    <n v="720"/>
    <n v="0.06"/>
    <n v="43.199999999999996"/>
    <x v="3"/>
  </r>
  <r>
    <s v="order_id = 1256"/>
    <x v="27"/>
    <x v="4"/>
    <x v="2"/>
    <n v="18"/>
    <n v="150"/>
    <n v="2700"/>
    <n v="0.06"/>
    <n v="162"/>
    <x v="4"/>
  </r>
  <r>
    <s v="order_id = 1257"/>
    <x v="27"/>
    <x v="1"/>
    <x v="1"/>
    <n v="12"/>
    <n v="40"/>
    <n v="480"/>
    <n v="0.1"/>
    <n v="48"/>
    <x v="5"/>
  </r>
  <r>
    <s v="order_id = 1258"/>
    <x v="27"/>
    <x v="0"/>
    <x v="0"/>
    <n v="21"/>
    <n v="80"/>
    <n v="1680"/>
    <n v="0.04"/>
    <n v="67.2"/>
    <x v="6"/>
  </r>
  <r>
    <s v="order_id = 1259"/>
    <x v="27"/>
    <x v="1"/>
    <x v="4"/>
    <n v="3"/>
    <n v="40"/>
    <n v="120"/>
    <n v="0.03"/>
    <n v="3.5999999999999996"/>
    <x v="7"/>
  </r>
  <r>
    <s v="order_id = 1260"/>
    <x v="27"/>
    <x v="0"/>
    <x v="4"/>
    <n v="22"/>
    <n v="80"/>
    <n v="1760"/>
    <n v="0.1"/>
    <n v="176"/>
    <x v="8"/>
  </r>
  <r>
    <s v="order_id = 1261"/>
    <x v="27"/>
    <x v="1"/>
    <x v="4"/>
    <n v="16"/>
    <n v="40"/>
    <n v="640"/>
    <n v="0.11"/>
    <n v="70.400000000000006"/>
    <x v="9"/>
  </r>
  <r>
    <s v="order_id = 1262"/>
    <x v="27"/>
    <x v="3"/>
    <x v="0"/>
    <n v="11"/>
    <n v="16"/>
    <n v="176"/>
    <n v="0.09"/>
    <n v="15.84"/>
    <x v="10"/>
  </r>
  <r>
    <s v="order_id = 1263"/>
    <x v="28"/>
    <x v="0"/>
    <x v="2"/>
    <n v="10"/>
    <n v="80"/>
    <n v="800"/>
    <n v="0.08"/>
    <n v="64"/>
    <x v="11"/>
  </r>
  <r>
    <s v="order_id = 1264"/>
    <x v="28"/>
    <x v="3"/>
    <x v="2"/>
    <n v="12"/>
    <n v="16"/>
    <n v="192"/>
    <n v="0.03"/>
    <n v="5.76"/>
    <x v="0"/>
  </r>
  <r>
    <s v="order_id = 1265"/>
    <x v="28"/>
    <x v="4"/>
    <x v="0"/>
    <n v="8"/>
    <n v="150"/>
    <n v="1200"/>
    <n v="0.09"/>
    <n v="108"/>
    <x v="1"/>
  </r>
  <r>
    <s v="order_id = 1266"/>
    <x v="28"/>
    <x v="1"/>
    <x v="4"/>
    <n v="10"/>
    <n v="40"/>
    <n v="400"/>
    <n v="0.03"/>
    <n v="12"/>
    <x v="2"/>
  </r>
  <r>
    <s v="order_id = 1267"/>
    <x v="28"/>
    <x v="4"/>
    <x v="0"/>
    <n v="7"/>
    <n v="150"/>
    <n v="1050"/>
    <n v="0.02"/>
    <n v="21"/>
    <x v="3"/>
  </r>
  <r>
    <s v="order_id = 1268"/>
    <x v="28"/>
    <x v="3"/>
    <x v="2"/>
    <n v="6"/>
    <n v="16"/>
    <n v="96"/>
    <n v="0.01"/>
    <n v="0.96"/>
    <x v="4"/>
  </r>
  <r>
    <s v="order_id = 1269"/>
    <x v="28"/>
    <x v="0"/>
    <x v="3"/>
    <n v="15"/>
    <n v="80"/>
    <n v="1200"/>
    <n v="0.08"/>
    <n v="96"/>
    <x v="5"/>
  </r>
  <r>
    <s v="order_id = 1270"/>
    <x v="28"/>
    <x v="3"/>
    <x v="4"/>
    <n v="13"/>
    <n v="16"/>
    <n v="208"/>
    <n v="7.0000000000000007E-2"/>
    <n v="14.560000000000002"/>
    <x v="1"/>
  </r>
  <r>
    <s v="order_id = 1271"/>
    <x v="28"/>
    <x v="2"/>
    <x v="3"/>
    <n v="19"/>
    <n v="230"/>
    <n v="4370"/>
    <n v="0.06"/>
    <n v="262.2"/>
    <x v="2"/>
  </r>
  <r>
    <s v="order_id = 1272"/>
    <x v="28"/>
    <x v="0"/>
    <x v="3"/>
    <n v="21"/>
    <n v="80"/>
    <n v="1680"/>
    <n v="0.05"/>
    <n v="84"/>
    <x v="3"/>
  </r>
  <r>
    <s v="order_id = 1273"/>
    <x v="28"/>
    <x v="0"/>
    <x v="1"/>
    <n v="5"/>
    <n v="80"/>
    <n v="400"/>
    <n v="7.0000000000000007E-2"/>
    <n v="28.000000000000004"/>
    <x v="4"/>
  </r>
  <r>
    <s v="order_id = 1274"/>
    <x v="28"/>
    <x v="3"/>
    <x v="2"/>
    <n v="8"/>
    <n v="16"/>
    <n v="128"/>
    <n v="0.03"/>
    <n v="3.84"/>
    <x v="5"/>
  </r>
  <r>
    <s v="order_id = 1275"/>
    <x v="28"/>
    <x v="3"/>
    <x v="2"/>
    <n v="12"/>
    <n v="16"/>
    <n v="192"/>
    <n v="0.11"/>
    <n v="21.12"/>
    <x v="6"/>
  </r>
  <r>
    <s v="order_id = 1276"/>
    <x v="28"/>
    <x v="0"/>
    <x v="3"/>
    <n v="22"/>
    <n v="80"/>
    <n v="1760"/>
    <n v="0.03"/>
    <n v="52.8"/>
    <x v="7"/>
  </r>
  <r>
    <s v="order_id = 1277"/>
    <x v="28"/>
    <x v="1"/>
    <x v="0"/>
    <n v="5"/>
    <n v="40"/>
    <n v="200"/>
    <n v="0.09"/>
    <n v="18"/>
    <x v="8"/>
  </r>
  <r>
    <s v="order_id = 1278"/>
    <x v="29"/>
    <x v="4"/>
    <x v="1"/>
    <n v="23"/>
    <n v="150"/>
    <n v="3450"/>
    <n v="0.11"/>
    <n v="379.5"/>
    <x v="9"/>
  </r>
  <r>
    <s v="order_id = 1279"/>
    <x v="29"/>
    <x v="0"/>
    <x v="0"/>
    <n v="16"/>
    <n v="80"/>
    <n v="1280"/>
    <n v="0.03"/>
    <n v="38.4"/>
    <x v="10"/>
  </r>
  <r>
    <s v="order_id = 1280"/>
    <x v="29"/>
    <x v="4"/>
    <x v="4"/>
    <n v="15"/>
    <n v="150"/>
    <n v="2250"/>
    <n v="7.0000000000000007E-2"/>
    <n v="157.50000000000003"/>
    <x v="11"/>
  </r>
  <r>
    <s v="order_id = 1281"/>
    <x v="29"/>
    <x v="1"/>
    <x v="0"/>
    <n v="20"/>
    <n v="40"/>
    <n v="800"/>
    <n v="0.04"/>
    <n v="32"/>
    <x v="0"/>
  </r>
  <r>
    <s v="order_id = 1282"/>
    <x v="29"/>
    <x v="2"/>
    <x v="2"/>
    <n v="10"/>
    <n v="230"/>
    <n v="2300"/>
    <n v="0.02"/>
    <n v="46"/>
    <x v="1"/>
  </r>
  <r>
    <s v="order_id = 1283"/>
    <x v="29"/>
    <x v="0"/>
    <x v="1"/>
    <n v="9"/>
    <n v="80"/>
    <n v="720"/>
    <n v="0.03"/>
    <n v="21.599999999999998"/>
    <x v="2"/>
  </r>
  <r>
    <s v="order_id = 1284"/>
    <x v="29"/>
    <x v="2"/>
    <x v="0"/>
    <n v="16"/>
    <n v="230"/>
    <n v="3680"/>
    <n v="7.0000000000000007E-2"/>
    <n v="257.60000000000002"/>
    <x v="3"/>
  </r>
  <r>
    <s v="order_id = 1285"/>
    <x v="29"/>
    <x v="0"/>
    <x v="1"/>
    <n v="21"/>
    <n v="80"/>
    <n v="1680"/>
    <n v="0.04"/>
    <n v="67.2"/>
    <x v="4"/>
  </r>
  <r>
    <s v="order_id = 1286"/>
    <x v="29"/>
    <x v="0"/>
    <x v="1"/>
    <n v="9"/>
    <n v="80"/>
    <n v="720"/>
    <n v="0.03"/>
    <n v="21.599999999999998"/>
    <x v="5"/>
  </r>
  <r>
    <s v="order_id = 1287"/>
    <x v="29"/>
    <x v="1"/>
    <x v="1"/>
    <n v="4"/>
    <n v="40"/>
    <n v="160"/>
    <n v="0.12"/>
    <n v="19.2"/>
    <x v="1"/>
  </r>
  <r>
    <s v="order_id = 1288"/>
    <x v="29"/>
    <x v="2"/>
    <x v="2"/>
    <n v="5"/>
    <n v="230"/>
    <n v="1150"/>
    <n v="0.01"/>
    <n v="11.5"/>
    <x v="2"/>
  </r>
  <r>
    <s v="order_id = 1289"/>
    <x v="29"/>
    <x v="3"/>
    <x v="0"/>
    <n v="18"/>
    <n v="16"/>
    <n v="288"/>
    <n v="0.05"/>
    <n v="14.4"/>
    <x v="3"/>
  </r>
  <r>
    <s v="order_id = 1290"/>
    <x v="30"/>
    <x v="0"/>
    <x v="2"/>
    <n v="6"/>
    <n v="80"/>
    <n v="480"/>
    <n v="0.01"/>
    <n v="4.8"/>
    <x v="4"/>
  </r>
  <r>
    <s v="order_id = 1291"/>
    <x v="30"/>
    <x v="4"/>
    <x v="4"/>
    <n v="4"/>
    <n v="150"/>
    <n v="600"/>
    <n v="0.05"/>
    <n v="30"/>
    <x v="5"/>
  </r>
  <r>
    <s v="order_id = 1292"/>
    <x v="30"/>
    <x v="2"/>
    <x v="4"/>
    <n v="21"/>
    <n v="230"/>
    <n v="4830"/>
    <n v="0.05"/>
    <n v="241.5"/>
    <x v="6"/>
  </r>
  <r>
    <s v="order_id = 1293"/>
    <x v="30"/>
    <x v="4"/>
    <x v="0"/>
    <n v="4"/>
    <n v="150"/>
    <n v="600"/>
    <n v="0.06"/>
    <n v="36"/>
    <x v="7"/>
  </r>
  <r>
    <s v="order_id = 1294"/>
    <x v="30"/>
    <x v="0"/>
    <x v="1"/>
    <n v="2"/>
    <n v="80"/>
    <n v="160"/>
    <n v="0.04"/>
    <n v="6.4"/>
    <x v="8"/>
  </r>
  <r>
    <s v="order_id = 1295"/>
    <x v="30"/>
    <x v="3"/>
    <x v="1"/>
    <n v="5"/>
    <n v="16"/>
    <n v="80"/>
    <n v="0.11"/>
    <n v="8.8000000000000007"/>
    <x v="9"/>
  </r>
  <r>
    <s v="order_id = 1296"/>
    <x v="30"/>
    <x v="4"/>
    <x v="4"/>
    <n v="23"/>
    <n v="150"/>
    <n v="3450"/>
    <n v="0.08"/>
    <n v="276"/>
    <x v="10"/>
  </r>
  <r>
    <s v="order_id = 1297"/>
    <x v="30"/>
    <x v="0"/>
    <x v="1"/>
    <n v="3"/>
    <n v="80"/>
    <n v="240"/>
    <n v="0.02"/>
    <n v="4.8"/>
    <x v="11"/>
  </r>
  <r>
    <s v="order_id = 1298"/>
    <x v="30"/>
    <x v="2"/>
    <x v="4"/>
    <n v="17"/>
    <n v="230"/>
    <n v="3910"/>
    <n v="0.11"/>
    <n v="430.1"/>
    <x v="0"/>
  </r>
  <r>
    <s v="order_id = 1299"/>
    <x v="30"/>
    <x v="1"/>
    <x v="2"/>
    <n v="11"/>
    <n v="40"/>
    <n v="440"/>
    <n v="0.05"/>
    <n v="22"/>
    <x v="1"/>
  </r>
  <r>
    <s v="order_id = 1300"/>
    <x v="30"/>
    <x v="1"/>
    <x v="2"/>
    <n v="13"/>
    <n v="40"/>
    <n v="520"/>
    <n v="0.02"/>
    <n v="10.4"/>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24FA70-8CD5-41AB-8677-24A0F981BDB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B10" firstHeaderRow="1" firstDataRow="1" firstDataCol="0"/>
  <pivotFields count="10">
    <pivotField showAll="0"/>
    <pivotField numFmtId="14" showAll="0"/>
    <pivotField showAll="0">
      <items count="6">
        <item x="3"/>
        <item x="2"/>
        <item x="0"/>
        <item x="4"/>
        <item x="1"/>
        <item t="default"/>
      </items>
    </pivotField>
    <pivotField showAll="0">
      <items count="6">
        <item x="4"/>
        <item x="0"/>
        <item x="2"/>
        <item x="1"/>
        <item x="3"/>
        <item t="default"/>
      </items>
    </pivotField>
    <pivotField showAll="0"/>
    <pivotField showAll="0"/>
    <pivotField dataField="1" showAll="0"/>
    <pivotField showAll="0"/>
    <pivotField showAll="0"/>
    <pivotField showAll="0">
      <items count="13">
        <item x="5"/>
        <item x="3"/>
        <item x="6"/>
        <item x="8"/>
        <item x="10"/>
        <item x="9"/>
        <item x="7"/>
        <item x="11"/>
        <item x="2"/>
        <item x="0"/>
        <item x="1"/>
        <item x="4"/>
        <item t="default"/>
      </items>
    </pivotField>
  </pivotFields>
  <rowItems count="1">
    <i/>
  </rowItems>
  <colItems count="1">
    <i/>
  </colItems>
  <dataFields count="1">
    <dataField name="Sum of total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E7D4E4-F062-4F54-BEE7-B8E4CC3D8E2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pivotFields count="10">
    <pivotField dataField="1" showAll="0"/>
    <pivotField numFmtId="14" showAll="0"/>
    <pivotField showAll="0">
      <items count="6">
        <item x="3"/>
        <item x="2"/>
        <item x="0"/>
        <item x="4"/>
        <item x="1"/>
        <item t="default"/>
      </items>
    </pivotField>
    <pivotField showAll="0">
      <items count="6">
        <item x="4"/>
        <item x="0"/>
        <item x="2"/>
        <item x="1"/>
        <item x="3"/>
        <item t="default"/>
      </items>
    </pivotField>
    <pivotField showAll="0"/>
    <pivotField showAll="0"/>
    <pivotField showAll="0"/>
    <pivotField showAll="0"/>
    <pivotField showAll="0"/>
    <pivotField showAll="0">
      <items count="13">
        <item x="5"/>
        <item x="3"/>
        <item x="6"/>
        <item x="8"/>
        <item x="10"/>
        <item x="9"/>
        <item x="7"/>
        <item x="11"/>
        <item x="2"/>
        <item x="0"/>
        <item x="1"/>
        <item x="4"/>
        <item t="default"/>
      </items>
    </pivotField>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1756AC-8349-434C-8C76-209A0D3D8EE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4:B15" firstHeaderRow="1" firstDataRow="1" firstDataCol="0"/>
  <pivotFields count="10">
    <pivotField showAll="0"/>
    <pivotField numFmtId="14" showAll="0"/>
    <pivotField showAll="0">
      <items count="6">
        <item x="3"/>
        <item x="2"/>
        <item x="0"/>
        <item x="4"/>
        <item x="1"/>
        <item t="default"/>
      </items>
    </pivotField>
    <pivotField showAll="0">
      <items count="6">
        <item x="4"/>
        <item x="0"/>
        <item x="2"/>
        <item x="1"/>
        <item x="3"/>
        <item t="default"/>
      </items>
    </pivotField>
    <pivotField showAll="0"/>
    <pivotField showAll="0"/>
    <pivotField showAll="0"/>
    <pivotField showAll="0"/>
    <pivotField dataField="1" showAll="0"/>
    <pivotField showAll="0">
      <items count="13">
        <item x="5"/>
        <item x="3"/>
        <item x="6"/>
        <item x="8"/>
        <item x="10"/>
        <item x="9"/>
        <item x="7"/>
        <item x="11"/>
        <item x="2"/>
        <item x="0"/>
        <item x="1"/>
        <item x="4"/>
        <item t="default"/>
      </items>
    </pivotField>
  </pivotFields>
  <rowItems count="1">
    <i/>
  </rowItems>
  <colItems count="1">
    <i/>
  </colItems>
  <dataFields count="1">
    <dataField name="Sum of total commission"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C33CA7-2FC7-4F87-AAD8-BC1AA255AA5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6:B12" firstHeaderRow="1" firstDataRow="1" firstDataCol="1"/>
  <pivotFields count="10">
    <pivotField showAll="0"/>
    <pivotField numFmtId="14" showAll="0"/>
    <pivotField axis="axisRow" showAll="0">
      <items count="6">
        <item x="3"/>
        <item x="2"/>
        <item x="0"/>
        <item x="4"/>
        <item x="1"/>
        <item t="default"/>
      </items>
    </pivotField>
    <pivotField showAll="0">
      <items count="6">
        <item x="4"/>
        <item x="0"/>
        <item x="2"/>
        <item x="1"/>
        <item x="3"/>
        <item t="default"/>
      </items>
    </pivotField>
    <pivotField dataField="1" showAll="0"/>
    <pivotField showAll="0"/>
    <pivotField showAll="0"/>
    <pivotField showAll="0"/>
    <pivotField showAll="0"/>
    <pivotField showAll="0">
      <items count="13">
        <item x="5"/>
        <item x="3"/>
        <item x="6"/>
        <item x="8"/>
        <item x="10"/>
        <item x="9"/>
        <item x="7"/>
        <item x="11"/>
        <item x="2"/>
        <item x="0"/>
        <item x="1"/>
        <item x="4"/>
        <item t="default"/>
      </items>
    </pivotField>
  </pivotFields>
  <rowFields count="1">
    <field x="2"/>
  </rowFields>
  <rowItems count="6">
    <i>
      <x/>
    </i>
    <i>
      <x v="1"/>
    </i>
    <i>
      <x v="2"/>
    </i>
    <i>
      <x v="3"/>
    </i>
    <i>
      <x v="4"/>
    </i>
    <i t="grand">
      <x/>
    </i>
  </rowItems>
  <colItems count="1">
    <i/>
  </colItems>
  <dataFields count="1">
    <dataField name="Sum of Quantity" fld="4" baseField="0" baseItem="0"/>
  </dataFields>
  <chartFormats count="4">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F81666-8C4D-4101-B473-6A8FF89812F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65:B97" firstHeaderRow="1" firstDataRow="1" firstDataCol="1"/>
  <pivotFields count="10">
    <pivotField dataField="1" showAll="0"/>
    <pivotField axis="axisRow" numFmtId="14"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6">
        <item x="3"/>
        <item x="2"/>
        <item x="0"/>
        <item x="4"/>
        <item x="1"/>
        <item t="default"/>
      </items>
    </pivotField>
    <pivotField showAll="0">
      <items count="6">
        <item x="4"/>
        <item x="0"/>
        <item x="2"/>
        <item x="1"/>
        <item x="3"/>
        <item t="default"/>
      </items>
    </pivotField>
    <pivotField showAll="0"/>
    <pivotField showAll="0"/>
    <pivotField showAll="0"/>
    <pivotField showAll="0"/>
    <pivotField showAll="0"/>
    <pivotField showAll="0">
      <items count="13">
        <item x="5"/>
        <item x="3"/>
        <item x="6"/>
        <item x="8"/>
        <item x="10"/>
        <item x="9"/>
        <item x="7"/>
        <item x="11"/>
        <item x="2"/>
        <item x="0"/>
        <item x="1"/>
        <item x="4"/>
        <item t="default"/>
      </items>
    </pivotField>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order_id" fld="0" subtotal="count" baseField="0"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E1D4EF-C30D-4014-97C3-8D432E139D3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9:B25" firstHeaderRow="1" firstDataRow="1" firstDataCol="1"/>
  <pivotFields count="10">
    <pivotField showAll="0"/>
    <pivotField numFmtId="14" showAll="0"/>
    <pivotField showAll="0">
      <items count="6">
        <item x="3"/>
        <item x="2"/>
        <item x="0"/>
        <item x="4"/>
        <item x="1"/>
        <item t="default"/>
      </items>
    </pivotField>
    <pivotField axis="axisRow" showAll="0">
      <items count="6">
        <item x="4"/>
        <item x="0"/>
        <item x="2"/>
        <item x="1"/>
        <item x="3"/>
        <item t="default"/>
      </items>
    </pivotField>
    <pivotField showAll="0"/>
    <pivotField showAll="0"/>
    <pivotField dataField="1" showAll="0"/>
    <pivotField showAll="0"/>
    <pivotField showAll="0"/>
    <pivotField showAll="0">
      <items count="13">
        <item x="5"/>
        <item x="3"/>
        <item x="6"/>
        <item x="8"/>
        <item x="10"/>
        <item x="9"/>
        <item x="7"/>
        <item x="11"/>
        <item x="2"/>
        <item x="0"/>
        <item x="1"/>
        <item x="4"/>
        <item t="default"/>
      </items>
    </pivotField>
  </pivotFields>
  <rowFields count="1">
    <field x="3"/>
  </rowFields>
  <rowItems count="6">
    <i>
      <x/>
    </i>
    <i>
      <x v="1"/>
    </i>
    <i>
      <x v="2"/>
    </i>
    <i>
      <x v="3"/>
    </i>
    <i>
      <x v="4"/>
    </i>
    <i t="grand">
      <x/>
    </i>
  </rowItems>
  <colItems count="1">
    <i/>
  </colItems>
  <dataFields count="1">
    <dataField name="Sum of total sales" fld="6" baseField="0" baseItem="0"/>
  </dataFields>
  <chartFormats count="2">
    <chartFormat chart="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82F328-279D-4719-AED8-7793510319A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5:G122" firstHeaderRow="1" firstDataRow="2" firstDataCol="1"/>
  <pivotFields count="10">
    <pivotField showAll="0"/>
    <pivotField numFmtId="14" showAll="0"/>
    <pivotField axis="axisCol" showAll="0">
      <items count="6">
        <item x="3"/>
        <item x="2"/>
        <item x="0"/>
        <item x="4"/>
        <item x="1"/>
        <item t="default"/>
      </items>
    </pivotField>
    <pivotField axis="axisRow" showAll="0">
      <items count="6">
        <item x="4"/>
        <item x="0"/>
        <item x="2"/>
        <item x="1"/>
        <item x="3"/>
        <item t="default"/>
      </items>
    </pivotField>
    <pivotField showAll="0"/>
    <pivotField showAll="0"/>
    <pivotField dataField="1" showAll="0"/>
    <pivotField showAll="0"/>
    <pivotField showAll="0"/>
    <pivotField showAll="0">
      <items count="13">
        <item x="5"/>
        <item x="3"/>
        <item x="6"/>
        <item x="8"/>
        <item x="10"/>
        <item x="9"/>
        <item x="7"/>
        <item x="11"/>
        <item x="2"/>
        <item x="0"/>
        <item x="1"/>
        <item x="4"/>
        <item t="default"/>
      </items>
    </pivotField>
  </pivotFields>
  <rowFields count="1">
    <field x="3"/>
  </rowFields>
  <rowItems count="6">
    <i>
      <x/>
    </i>
    <i>
      <x v="1"/>
    </i>
    <i>
      <x v="2"/>
    </i>
    <i>
      <x v="3"/>
    </i>
    <i>
      <x v="4"/>
    </i>
    <i t="grand">
      <x/>
    </i>
  </rowItems>
  <colFields count="1">
    <field x="2"/>
  </colFields>
  <colItems count="6">
    <i>
      <x/>
    </i>
    <i>
      <x v="1"/>
    </i>
    <i>
      <x v="2"/>
    </i>
    <i>
      <x v="3"/>
    </i>
    <i>
      <x v="4"/>
    </i>
    <i t="grand">
      <x/>
    </i>
  </colItems>
  <dataFields count="1">
    <dataField name="Sum of total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224129-643B-46C6-AD58-25C54C83051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4:B110" firstHeaderRow="1" firstDataRow="1" firstDataCol="1" rowPageCount="1" colPageCount="1"/>
  <pivotFields count="10">
    <pivotField showAll="0"/>
    <pivotField numFmtId="14" showAll="0"/>
    <pivotField axis="axisPage" showAll="0">
      <items count="6">
        <item x="3"/>
        <item x="2"/>
        <item x="0"/>
        <item x="4"/>
        <item x="1"/>
        <item t="default"/>
      </items>
    </pivotField>
    <pivotField axis="axisRow" showAll="0">
      <items count="6">
        <item x="4"/>
        <item x="0"/>
        <item x="2"/>
        <item x="1"/>
        <item x="3"/>
        <item t="default"/>
      </items>
    </pivotField>
    <pivotField showAll="0"/>
    <pivotField showAll="0"/>
    <pivotField dataField="1" showAll="0"/>
    <pivotField showAll="0"/>
    <pivotField showAll="0"/>
    <pivotField showAll="0">
      <items count="13">
        <item x="5"/>
        <item x="3"/>
        <item x="6"/>
        <item x="8"/>
        <item x="10"/>
        <item x="9"/>
        <item x="7"/>
        <item x="11"/>
        <item x="2"/>
        <item x="0"/>
        <item x="1"/>
        <item x="4"/>
        <item t="default"/>
      </items>
    </pivotField>
  </pivotFields>
  <rowFields count="1">
    <field x="3"/>
  </rowFields>
  <rowItems count="6">
    <i>
      <x/>
    </i>
    <i>
      <x v="1"/>
    </i>
    <i>
      <x v="2"/>
    </i>
    <i>
      <x v="3"/>
    </i>
    <i>
      <x v="4"/>
    </i>
    <i t="grand">
      <x/>
    </i>
  </rowItems>
  <colItems count="1">
    <i/>
  </colItems>
  <pageFields count="1">
    <pageField fld="2" hier="-1"/>
  </pageFields>
  <dataFields count="1">
    <dataField name="Sum of total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8CE6A3A-021C-4B9F-AC71-94DE934A0AD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5:B58" firstHeaderRow="1" firstDataRow="1" firstDataCol="1"/>
  <pivotFields count="10">
    <pivotField dataField="1" showAll="0"/>
    <pivotField numFmtId="14" showAll="0"/>
    <pivotField showAll="0">
      <items count="6">
        <item x="3"/>
        <item x="2"/>
        <item x="0"/>
        <item x="4"/>
        <item x="1"/>
        <item t="default"/>
      </items>
    </pivotField>
    <pivotField showAll="0">
      <items count="6">
        <item x="4"/>
        <item x="0"/>
        <item x="2"/>
        <item x="1"/>
        <item x="3"/>
        <item t="default"/>
      </items>
    </pivotField>
    <pivotField showAll="0"/>
    <pivotField showAll="0"/>
    <pivotField showAll="0"/>
    <pivotField showAll="0"/>
    <pivotField showAll="0"/>
    <pivotField axis="axisRow" showAll="0">
      <items count="13">
        <item x="5"/>
        <item x="3"/>
        <item x="6"/>
        <item x="8"/>
        <item x="10"/>
        <item x="9"/>
        <item x="7"/>
        <item x="11"/>
        <item x="2"/>
        <item x="0"/>
        <item x="1"/>
        <item x="4"/>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8B518ED-7A56-4224-B916-0FDCD18F10F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2:B38" firstHeaderRow="1" firstDataRow="1" firstDataCol="1"/>
  <pivotFields count="10">
    <pivotField showAll="0"/>
    <pivotField numFmtId="14" showAll="0"/>
    <pivotField showAll="0">
      <items count="6">
        <item x="3"/>
        <item x="2"/>
        <item x="0"/>
        <item x="4"/>
        <item x="1"/>
        <item t="default"/>
      </items>
    </pivotField>
    <pivotField axis="axisRow" showAll="0">
      <items count="6">
        <item x="4"/>
        <item x="0"/>
        <item x="2"/>
        <item x="1"/>
        <item x="3"/>
        <item t="default"/>
      </items>
    </pivotField>
    <pivotField showAll="0"/>
    <pivotField showAll="0"/>
    <pivotField showAll="0"/>
    <pivotField showAll="0"/>
    <pivotField dataField="1" showAll="0"/>
    <pivotField showAll="0">
      <items count="13">
        <item x="5"/>
        <item x="3"/>
        <item x="6"/>
        <item x="8"/>
        <item x="10"/>
        <item x="9"/>
        <item x="7"/>
        <item x="11"/>
        <item x="2"/>
        <item x="0"/>
        <item x="1"/>
        <item x="4"/>
        <item t="default"/>
      </items>
    </pivotField>
  </pivotFields>
  <rowFields count="1">
    <field x="3"/>
  </rowFields>
  <rowItems count="6">
    <i>
      <x/>
    </i>
    <i>
      <x v="1"/>
    </i>
    <i>
      <x v="2"/>
    </i>
    <i>
      <x v="3"/>
    </i>
    <i>
      <x v="4"/>
    </i>
    <i t="grand">
      <x/>
    </i>
  </rowItems>
  <colItems count="1">
    <i/>
  </colItems>
  <dataFields count="1">
    <dataField name="Sum of total commission" fld="8"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532ABE0-78A6-4B31-9726-428AD4757E8F}" autoFormatId="16" applyNumberFormats="0" applyBorderFormats="0" applyFontFormats="0" applyPatternFormats="0" applyAlignmentFormats="0" applyWidthHeightFormats="0">
  <queryTableRefresh nextId="11">
    <queryTableFields count="10">
      <queryTableField id="1" name="order_id" tableColumnId="1"/>
      <queryTableField id="2" name="Date" tableColumnId="2"/>
      <queryTableField id="3" name="Item" tableColumnId="3"/>
      <queryTableField id="4" name="Sales Rep" tableColumnId="4"/>
      <queryTableField id="5" name="Quantity" tableColumnId="5"/>
      <queryTableField id="6" name="Price" tableColumnId="6"/>
      <queryTableField id="7" name="total sales" tableColumnId="7"/>
      <queryTableField id="8" name="Commission" tableColumnId="8"/>
      <queryTableField id="9" name="total commission" tableColumnId="9"/>
      <queryTableField id="10" name="State"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4C522C60-5EAC-4986-8C77-D21AD542F142}" sourceName="Item">
  <pivotTables>
    <pivotTable tabId="6" name="PivotTable5"/>
    <pivotTable tabId="6" name="PivotTable10"/>
    <pivotTable tabId="6" name="PivotTable11"/>
    <pivotTable tabId="6" name="PivotTable6"/>
    <pivotTable tabId="6" name="PivotTable7"/>
    <pivotTable tabId="6" name="PivotTable8"/>
    <pivotTable tabId="6" name="PivotTable9"/>
    <pivotTable tabId="5" name="PivotTable2"/>
    <pivotTable tabId="5" name="PivotTable3"/>
    <pivotTable tabId="5" name="PivotTable4"/>
  </pivotTables>
  <data>
    <tabular pivotCacheId="937262617">
      <items count="5">
        <i x="3" s="1"/>
        <i x="2" s="1"/>
        <i x="0"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FA31B413-58D2-4B6D-81FB-9C82D0FAB313}" sourceName="Sales Rep">
  <pivotTables>
    <pivotTable tabId="6" name="PivotTable5"/>
    <pivotTable tabId="6" name="PivotTable10"/>
    <pivotTable tabId="6" name="PivotTable11"/>
    <pivotTable tabId="6" name="PivotTable6"/>
    <pivotTable tabId="6" name="PivotTable7"/>
    <pivotTable tabId="6" name="PivotTable8"/>
    <pivotTable tabId="6" name="PivotTable9"/>
    <pivotTable tabId="5" name="PivotTable2"/>
    <pivotTable tabId="5" name="PivotTable3"/>
    <pivotTable tabId="5" name="PivotTable4"/>
  </pivotTables>
  <data>
    <tabular pivotCacheId="937262617">
      <items count="5">
        <i x="4" s="1"/>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CDA572E-2B50-478B-88BF-879FC438099D}" sourceName="State">
  <pivotTables>
    <pivotTable tabId="6" name="PivotTable5"/>
    <pivotTable tabId="6" name="PivotTable10"/>
    <pivotTable tabId="6" name="PivotTable11"/>
    <pivotTable tabId="6" name="PivotTable6"/>
    <pivotTable tabId="6" name="PivotTable7"/>
    <pivotTable tabId="6" name="PivotTable8"/>
    <pivotTable tabId="6" name="PivotTable9"/>
    <pivotTable tabId="5" name="PivotTable2"/>
    <pivotTable tabId="5" name="PivotTable3"/>
    <pivotTable tabId="5" name="PivotTable4"/>
  </pivotTables>
  <data>
    <tabular pivotCacheId="937262617">
      <items count="12">
        <i x="5" s="1"/>
        <i x="3" s="1"/>
        <i x="6" s="1"/>
        <i x="8" s="1"/>
        <i x="10" s="1"/>
        <i x="9" s="1"/>
        <i x="7" s="1"/>
        <i x="11" s="1"/>
        <i x="2" s="1"/>
        <i x="0"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714CA70C-EF3F-4BBB-8ADB-E9B232C803C0}" cache="Slicer_Item" caption="Item" rowHeight="251883"/>
  <slicer name="Sales Rep" xr10:uid="{E0ABE720-6AC6-4B15-B9FB-AC649F0822EA}" cache="Slicer_Sales_Rep" caption="Sales Rep" rowHeight="251883"/>
  <slicer name="State" xr10:uid="{5956CF9E-36F2-4FA4-A760-F0B898CD49DD}" cache="Slicer_State" caption="State"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946BF0-B53E-4A4D-BD65-F7C1CC25DEFC}" name="raw_data_one_month_sales_Report" displayName="raw_data_one_month_sales_Report" ref="A1:J1301" tableType="queryTable" totalsRowShown="0" headerRowDxfId="11" dataDxfId="10">
  <autoFilter ref="A1:J1301" xr:uid="{FA946BF0-B53E-4A4D-BD65-F7C1CC25DEFC}"/>
  <tableColumns count="10">
    <tableColumn id="1" xr3:uid="{D41686C3-09D4-4B29-9F97-9C5EEFB0AEBB}" uniqueName="1" name="order_id" queryTableFieldId="1" dataDxfId="9"/>
    <tableColumn id="2" xr3:uid="{50D5D856-BA12-4926-8CF9-BAB54D8DD195}" uniqueName="2" name="Date" queryTableFieldId="2" dataDxfId="8"/>
    <tableColumn id="3" xr3:uid="{9C938353-FC82-4005-84A7-DA5E6AD86857}" uniqueName="3" name="Item" queryTableFieldId="3" dataDxfId="7"/>
    <tableColumn id="4" xr3:uid="{6040A547-6446-48C9-83F0-669551AA5F9B}" uniqueName="4" name="Sales Rep" queryTableFieldId="4" dataDxfId="6"/>
    <tableColumn id="5" xr3:uid="{AA538C46-A89B-48B4-BDA0-DE16190A2BFC}" uniqueName="5" name="Quantity" queryTableFieldId="5" dataDxfId="5"/>
    <tableColumn id="6" xr3:uid="{40002D5C-2DF3-4DF7-BE24-12869033181C}" uniqueName="6" name="Price" queryTableFieldId="6" dataDxfId="4"/>
    <tableColumn id="7" xr3:uid="{E701422C-32F3-4F0A-9987-0FF5922CCEA7}" uniqueName="7" name="total sales" queryTableFieldId="7" dataDxfId="3"/>
    <tableColumn id="8" xr3:uid="{499BDBA9-CD77-44FD-89CC-FF9B55C4E70C}" uniqueName="8" name="Commission" queryTableFieldId="8" dataDxfId="2"/>
    <tableColumn id="9" xr3:uid="{2F296DC0-FEA1-4071-BBDB-814F69BD3E04}" uniqueName="9" name="total commission" queryTableFieldId="9" dataDxfId="1"/>
    <tableColumn id="10" xr3:uid="{AC2E835E-A33E-4520-B3B6-DC6A0F86A052}" uniqueName="10" name="State"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bg1"/>
        </a:solidFill>
      </a:spPr>
      <a:bodyPr vertOverflow="clip" horzOverflow="clip" rtlCol="0" anchor="t"/>
      <a:lstStyle>
        <a:defPPr algn="l">
          <a:defRPr sz="1100">
            <a:solidFill>
              <a:schemeClr val="accent1">
                <a:lumMod val="60000"/>
                <a:lumOff val="40000"/>
              </a:schemeClr>
            </a:solidFill>
          </a:defRPr>
        </a:defPPr>
      </a:lstStyle>
      <a:style>
        <a:lnRef idx="2">
          <a:schemeClr val="accent1">
            <a:shade val="15000"/>
          </a:schemeClr>
        </a:lnRef>
        <a:fillRef idx="1">
          <a:schemeClr val="accent1"/>
        </a:fillRef>
        <a:effectRef idx="0">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9097D-F07D-4391-8CD2-A940D08DBC2B}">
  <dimension ref="A1:J1301"/>
  <sheetViews>
    <sheetView topLeftCell="A1280" zoomScale="72" zoomScaleNormal="72" workbookViewId="0">
      <selection activeCell="I1292" sqref="I1292"/>
    </sheetView>
  </sheetViews>
  <sheetFormatPr defaultRowHeight="14.5" x14ac:dyDescent="0.35"/>
  <cols>
    <col min="1" max="1" width="13.1796875" bestFit="1" customWidth="1"/>
    <col min="2" max="2" width="10.08984375" bestFit="1" customWidth="1"/>
    <col min="3" max="3" width="11.54296875" customWidth="1"/>
    <col min="4" max="4" width="15.54296875" customWidth="1"/>
    <col min="5" max="5" width="13.54296875" customWidth="1"/>
    <col min="6" max="6" width="10.90625" customWidth="1"/>
    <col min="7" max="7" width="14.1796875" customWidth="1"/>
    <col min="8" max="8" width="19.1796875" customWidth="1"/>
    <col min="9" max="9" width="20.08984375" customWidth="1"/>
    <col min="10" max="10" width="12" bestFit="1" customWidth="1"/>
  </cols>
  <sheetData>
    <row r="1" spans="1:10" x14ac:dyDescent="0.35">
      <c r="A1" s="3" t="s">
        <v>0</v>
      </c>
      <c r="B1" s="3" t="s">
        <v>1</v>
      </c>
      <c r="C1" s="3" t="s">
        <v>2</v>
      </c>
      <c r="D1" s="3" t="s">
        <v>3</v>
      </c>
      <c r="E1" s="3" t="s">
        <v>4</v>
      </c>
      <c r="F1" s="3" t="s">
        <v>5</v>
      </c>
      <c r="G1" s="3" t="s">
        <v>6</v>
      </c>
      <c r="H1" s="3" t="s">
        <v>7</v>
      </c>
      <c r="I1" s="3" t="s">
        <v>8</v>
      </c>
      <c r="J1" s="3" t="s">
        <v>9</v>
      </c>
    </row>
    <row r="2" spans="1:10" x14ac:dyDescent="0.35">
      <c r="A2" s="3" t="s">
        <v>10</v>
      </c>
      <c r="B2" s="4">
        <v>43282</v>
      </c>
      <c r="C2" s="3" t="s">
        <v>11</v>
      </c>
      <c r="D2" s="3" t="s">
        <v>12</v>
      </c>
      <c r="E2" s="3">
        <v>10</v>
      </c>
      <c r="F2" s="3">
        <v>80</v>
      </c>
      <c r="G2" s="3">
        <v>800</v>
      </c>
      <c r="H2" s="3">
        <v>0.01</v>
      </c>
      <c r="I2" s="3">
        <v>8</v>
      </c>
      <c r="J2" s="3" t="s">
        <v>13</v>
      </c>
    </row>
    <row r="3" spans="1:10" x14ac:dyDescent="0.35">
      <c r="A3" s="3" t="s">
        <v>14</v>
      </c>
      <c r="B3" s="4">
        <v>43282</v>
      </c>
      <c r="C3" s="3" t="s">
        <v>15</v>
      </c>
      <c r="D3" s="3" t="s">
        <v>16</v>
      </c>
      <c r="E3" s="3">
        <v>14</v>
      </c>
      <c r="F3" s="3">
        <v>40</v>
      </c>
      <c r="G3" s="3">
        <v>560</v>
      </c>
      <c r="H3" s="3">
        <v>0.06</v>
      </c>
      <c r="I3" s="3">
        <v>33.6</v>
      </c>
      <c r="J3" s="3" t="s">
        <v>17</v>
      </c>
    </row>
    <row r="4" spans="1:10" x14ac:dyDescent="0.35">
      <c r="A4" s="3" t="s">
        <v>18</v>
      </c>
      <c r="B4" s="4">
        <v>43282</v>
      </c>
      <c r="C4" s="3" t="s">
        <v>19</v>
      </c>
      <c r="D4" s="3" t="s">
        <v>16</v>
      </c>
      <c r="E4" s="3">
        <v>22</v>
      </c>
      <c r="F4" s="3">
        <v>230</v>
      </c>
      <c r="G4" s="3">
        <v>5060</v>
      </c>
      <c r="H4" s="3">
        <v>0.11</v>
      </c>
      <c r="I4" s="3">
        <v>556.6</v>
      </c>
      <c r="J4" s="3" t="s">
        <v>20</v>
      </c>
    </row>
    <row r="5" spans="1:10" x14ac:dyDescent="0.35">
      <c r="A5" s="3" t="s">
        <v>21</v>
      </c>
      <c r="B5" s="4">
        <v>43282</v>
      </c>
      <c r="C5" s="3" t="s">
        <v>19</v>
      </c>
      <c r="D5" s="3" t="s">
        <v>12</v>
      </c>
      <c r="E5" s="3">
        <v>8</v>
      </c>
      <c r="F5" s="3">
        <v>230</v>
      </c>
      <c r="G5" s="3">
        <v>1840</v>
      </c>
      <c r="H5" s="3">
        <v>0.03</v>
      </c>
      <c r="I5" s="3">
        <v>55.199999999999996</v>
      </c>
      <c r="J5" s="3" t="s">
        <v>22</v>
      </c>
    </row>
    <row r="6" spans="1:10" x14ac:dyDescent="0.35">
      <c r="A6" s="3" t="s">
        <v>23</v>
      </c>
      <c r="B6" s="4">
        <v>43282</v>
      </c>
      <c r="C6" s="3" t="s">
        <v>19</v>
      </c>
      <c r="D6" s="3" t="s">
        <v>24</v>
      </c>
      <c r="E6" s="3">
        <v>12</v>
      </c>
      <c r="F6" s="3">
        <v>230</v>
      </c>
      <c r="G6" s="3">
        <v>2760</v>
      </c>
      <c r="H6" s="3">
        <v>0.03</v>
      </c>
      <c r="I6" s="3">
        <v>82.8</v>
      </c>
      <c r="J6" s="3" t="s">
        <v>25</v>
      </c>
    </row>
    <row r="7" spans="1:10" x14ac:dyDescent="0.35">
      <c r="A7" s="3" t="s">
        <v>26</v>
      </c>
      <c r="B7" s="4">
        <v>43282</v>
      </c>
      <c r="C7" s="3" t="s">
        <v>11</v>
      </c>
      <c r="D7" s="3" t="s">
        <v>27</v>
      </c>
      <c r="E7" s="3">
        <v>19</v>
      </c>
      <c r="F7" s="3">
        <v>80</v>
      </c>
      <c r="G7" s="3">
        <v>1520</v>
      </c>
      <c r="H7" s="3">
        <v>0.02</v>
      </c>
      <c r="I7" s="3">
        <v>30.400000000000002</v>
      </c>
      <c r="J7" s="3" t="s">
        <v>28</v>
      </c>
    </row>
    <row r="8" spans="1:10" x14ac:dyDescent="0.35">
      <c r="A8" s="3" t="s">
        <v>29</v>
      </c>
      <c r="B8" s="4">
        <v>43282</v>
      </c>
      <c r="C8" s="3" t="s">
        <v>30</v>
      </c>
      <c r="D8" s="3" t="s">
        <v>31</v>
      </c>
      <c r="E8" s="3">
        <v>17</v>
      </c>
      <c r="F8" s="3">
        <v>16</v>
      </c>
      <c r="G8" s="3">
        <v>272</v>
      </c>
      <c r="H8" s="3">
        <v>0.08</v>
      </c>
      <c r="I8" s="3">
        <v>21.76</v>
      </c>
      <c r="J8" s="3" t="s">
        <v>32</v>
      </c>
    </row>
    <row r="9" spans="1:10" x14ac:dyDescent="0.35">
      <c r="A9" s="3" t="s">
        <v>33</v>
      </c>
      <c r="B9" s="4">
        <v>43282</v>
      </c>
      <c r="C9" s="3" t="s">
        <v>34</v>
      </c>
      <c r="D9" s="3" t="s">
        <v>27</v>
      </c>
      <c r="E9" s="3">
        <v>7</v>
      </c>
      <c r="F9" s="3">
        <v>150</v>
      </c>
      <c r="G9" s="3">
        <v>1050</v>
      </c>
      <c r="H9" s="3">
        <v>0.05</v>
      </c>
      <c r="I9" s="3">
        <v>52.5</v>
      </c>
      <c r="J9" s="3" t="s">
        <v>35</v>
      </c>
    </row>
    <row r="10" spans="1:10" x14ac:dyDescent="0.35">
      <c r="A10" s="3" t="s">
        <v>36</v>
      </c>
      <c r="B10" s="4">
        <v>43282</v>
      </c>
      <c r="C10" s="3" t="s">
        <v>34</v>
      </c>
      <c r="D10" s="3" t="s">
        <v>27</v>
      </c>
      <c r="E10" s="3">
        <v>20</v>
      </c>
      <c r="F10" s="3">
        <v>150</v>
      </c>
      <c r="G10" s="3">
        <v>3000</v>
      </c>
      <c r="H10" s="3">
        <v>0.1</v>
      </c>
      <c r="I10" s="3">
        <v>300</v>
      </c>
      <c r="J10" s="3" t="s">
        <v>37</v>
      </c>
    </row>
    <row r="11" spans="1:10" x14ac:dyDescent="0.35">
      <c r="A11" s="3" t="s">
        <v>38</v>
      </c>
      <c r="B11" s="4">
        <v>43282</v>
      </c>
      <c r="C11" s="3" t="s">
        <v>30</v>
      </c>
      <c r="D11" s="3" t="s">
        <v>12</v>
      </c>
      <c r="E11" s="3">
        <v>21</v>
      </c>
      <c r="F11" s="3">
        <v>16</v>
      </c>
      <c r="G11" s="3">
        <v>336</v>
      </c>
      <c r="H11" s="3">
        <v>0.09</v>
      </c>
      <c r="I11" s="3">
        <v>30.24</v>
      </c>
      <c r="J11" s="3" t="s">
        <v>39</v>
      </c>
    </row>
    <row r="12" spans="1:10" x14ac:dyDescent="0.35">
      <c r="A12" s="3" t="s">
        <v>40</v>
      </c>
      <c r="B12" s="4">
        <v>43282</v>
      </c>
      <c r="C12" s="3" t="s">
        <v>19</v>
      </c>
      <c r="D12" s="3" t="s">
        <v>16</v>
      </c>
      <c r="E12" s="3">
        <v>7</v>
      </c>
      <c r="F12" s="3">
        <v>230</v>
      </c>
      <c r="G12" s="3">
        <v>1610</v>
      </c>
      <c r="H12" s="3">
        <v>0.01</v>
      </c>
      <c r="I12" s="3">
        <v>16.100000000000001</v>
      </c>
      <c r="J12" s="3" t="s">
        <v>41</v>
      </c>
    </row>
    <row r="13" spans="1:10" x14ac:dyDescent="0.35">
      <c r="A13" s="3" t="s">
        <v>42</v>
      </c>
      <c r="B13" s="4">
        <v>43283</v>
      </c>
      <c r="C13" s="3" t="s">
        <v>11</v>
      </c>
      <c r="D13" s="3" t="s">
        <v>27</v>
      </c>
      <c r="E13" s="3">
        <v>7</v>
      </c>
      <c r="F13" s="3">
        <v>80</v>
      </c>
      <c r="G13" s="3">
        <v>560</v>
      </c>
      <c r="H13" s="3">
        <v>7.0000000000000007E-2</v>
      </c>
      <c r="I13" s="3">
        <v>39.200000000000003</v>
      </c>
      <c r="J13" s="3" t="s">
        <v>43</v>
      </c>
    </row>
    <row r="14" spans="1:10" x14ac:dyDescent="0.35">
      <c r="A14" s="3" t="s">
        <v>44</v>
      </c>
      <c r="B14" s="4">
        <v>43283</v>
      </c>
      <c r="C14" s="3" t="s">
        <v>11</v>
      </c>
      <c r="D14" s="3" t="s">
        <v>31</v>
      </c>
      <c r="E14" s="3">
        <v>9</v>
      </c>
      <c r="F14" s="3">
        <v>80</v>
      </c>
      <c r="G14" s="3">
        <v>720</v>
      </c>
      <c r="H14" s="3">
        <v>0.02</v>
      </c>
      <c r="I14" s="3">
        <v>14.4</v>
      </c>
      <c r="J14" s="3" t="s">
        <v>13</v>
      </c>
    </row>
    <row r="15" spans="1:10" x14ac:dyDescent="0.35">
      <c r="A15" s="3" t="s">
        <v>45</v>
      </c>
      <c r="B15" s="4">
        <v>43283</v>
      </c>
      <c r="C15" s="3" t="s">
        <v>15</v>
      </c>
      <c r="D15" s="3" t="s">
        <v>31</v>
      </c>
      <c r="E15" s="3">
        <v>16</v>
      </c>
      <c r="F15" s="3">
        <v>40</v>
      </c>
      <c r="G15" s="3">
        <v>640</v>
      </c>
      <c r="H15" s="3">
        <v>0.09</v>
      </c>
      <c r="I15" s="3">
        <v>57.599999999999994</v>
      </c>
      <c r="J15" s="3" t="s">
        <v>17</v>
      </c>
    </row>
    <row r="16" spans="1:10" x14ac:dyDescent="0.35">
      <c r="A16" s="3" t="s">
        <v>46</v>
      </c>
      <c r="B16" s="4">
        <v>43283</v>
      </c>
      <c r="C16" s="3" t="s">
        <v>34</v>
      </c>
      <c r="D16" s="3" t="s">
        <v>16</v>
      </c>
      <c r="E16" s="3">
        <v>23</v>
      </c>
      <c r="F16" s="3">
        <v>150</v>
      </c>
      <c r="G16" s="3">
        <v>3450</v>
      </c>
      <c r="H16" s="3">
        <v>0.11</v>
      </c>
      <c r="I16" s="3">
        <v>379.5</v>
      </c>
      <c r="J16" s="3" t="s">
        <v>20</v>
      </c>
    </row>
    <row r="17" spans="1:10" x14ac:dyDescent="0.35">
      <c r="A17" s="3" t="s">
        <v>47</v>
      </c>
      <c r="B17" s="4">
        <v>43283</v>
      </c>
      <c r="C17" s="3" t="s">
        <v>30</v>
      </c>
      <c r="D17" s="3" t="s">
        <v>27</v>
      </c>
      <c r="E17" s="3">
        <v>22</v>
      </c>
      <c r="F17" s="3">
        <v>16</v>
      </c>
      <c r="G17" s="3">
        <v>352</v>
      </c>
      <c r="H17" s="3">
        <v>0.03</v>
      </c>
      <c r="I17" s="3">
        <v>10.559999999999999</v>
      </c>
      <c r="J17" s="3" t="s">
        <v>22</v>
      </c>
    </row>
    <row r="18" spans="1:10" x14ac:dyDescent="0.35">
      <c r="A18" s="3" t="s">
        <v>48</v>
      </c>
      <c r="B18" s="4">
        <v>43283</v>
      </c>
      <c r="C18" s="3" t="s">
        <v>15</v>
      </c>
      <c r="D18" s="3" t="s">
        <v>27</v>
      </c>
      <c r="E18" s="3">
        <v>23</v>
      </c>
      <c r="F18" s="3">
        <v>40</v>
      </c>
      <c r="G18" s="3">
        <v>920</v>
      </c>
      <c r="H18" s="3">
        <v>0.06</v>
      </c>
      <c r="I18" s="3">
        <v>55.199999999999996</v>
      </c>
      <c r="J18" s="3" t="s">
        <v>25</v>
      </c>
    </row>
    <row r="19" spans="1:10" x14ac:dyDescent="0.35">
      <c r="A19" s="3" t="s">
        <v>49</v>
      </c>
      <c r="B19" s="4">
        <v>43283</v>
      </c>
      <c r="C19" s="3" t="s">
        <v>11</v>
      </c>
      <c r="D19" s="3" t="s">
        <v>12</v>
      </c>
      <c r="E19" s="3">
        <v>20</v>
      </c>
      <c r="F19" s="3">
        <v>80</v>
      </c>
      <c r="G19" s="3">
        <v>1600</v>
      </c>
      <c r="H19" s="3">
        <v>0.01</v>
      </c>
      <c r="I19" s="3">
        <v>16</v>
      </c>
      <c r="J19" s="3" t="s">
        <v>28</v>
      </c>
    </row>
    <row r="20" spans="1:10" x14ac:dyDescent="0.35">
      <c r="A20" s="3" t="s">
        <v>50</v>
      </c>
      <c r="B20" s="4">
        <v>43284</v>
      </c>
      <c r="C20" s="3" t="s">
        <v>11</v>
      </c>
      <c r="D20" s="3" t="s">
        <v>27</v>
      </c>
      <c r="E20" s="3">
        <v>11</v>
      </c>
      <c r="F20" s="3">
        <v>80</v>
      </c>
      <c r="G20" s="3">
        <v>880</v>
      </c>
      <c r="H20" s="3">
        <v>0.01</v>
      </c>
      <c r="I20" s="3">
        <v>8.8000000000000007</v>
      </c>
      <c r="J20" s="3" t="s">
        <v>32</v>
      </c>
    </row>
    <row r="21" spans="1:10" x14ac:dyDescent="0.35">
      <c r="A21" s="3" t="s">
        <v>51</v>
      </c>
      <c r="B21" s="4">
        <v>43284</v>
      </c>
      <c r="C21" s="3" t="s">
        <v>15</v>
      </c>
      <c r="D21" s="3" t="s">
        <v>27</v>
      </c>
      <c r="E21" s="3">
        <v>9</v>
      </c>
      <c r="F21" s="3">
        <v>40</v>
      </c>
      <c r="G21" s="3">
        <v>360</v>
      </c>
      <c r="H21" s="3">
        <v>0.06</v>
      </c>
      <c r="I21" s="3">
        <v>21.599999999999998</v>
      </c>
      <c r="J21" s="3" t="s">
        <v>35</v>
      </c>
    </row>
    <row r="22" spans="1:10" x14ac:dyDescent="0.35">
      <c r="A22" s="3" t="s">
        <v>52</v>
      </c>
      <c r="B22" s="4">
        <v>43284</v>
      </c>
      <c r="C22" s="3" t="s">
        <v>11</v>
      </c>
      <c r="D22" s="3" t="s">
        <v>31</v>
      </c>
      <c r="E22" s="3">
        <v>16</v>
      </c>
      <c r="F22" s="3">
        <v>80</v>
      </c>
      <c r="G22" s="3">
        <v>1280</v>
      </c>
      <c r="H22" s="3">
        <v>0.09</v>
      </c>
      <c r="I22" s="3">
        <v>115.19999999999999</v>
      </c>
      <c r="J22" s="3" t="s">
        <v>37</v>
      </c>
    </row>
    <row r="23" spans="1:10" x14ac:dyDescent="0.35">
      <c r="A23" s="3" t="s">
        <v>53</v>
      </c>
      <c r="B23" s="4">
        <v>43284</v>
      </c>
      <c r="C23" s="3" t="s">
        <v>11</v>
      </c>
      <c r="D23" s="3" t="s">
        <v>24</v>
      </c>
      <c r="E23" s="3">
        <v>10</v>
      </c>
      <c r="F23" s="3">
        <v>80</v>
      </c>
      <c r="G23" s="3">
        <v>800</v>
      </c>
      <c r="H23" s="3">
        <v>0.08</v>
      </c>
      <c r="I23" s="3">
        <v>64</v>
      </c>
      <c r="J23" s="3" t="s">
        <v>39</v>
      </c>
    </row>
    <row r="24" spans="1:10" x14ac:dyDescent="0.35">
      <c r="A24" s="3" t="s">
        <v>54</v>
      </c>
      <c r="B24" s="4">
        <v>43284</v>
      </c>
      <c r="C24" s="3" t="s">
        <v>30</v>
      </c>
      <c r="D24" s="3" t="s">
        <v>24</v>
      </c>
      <c r="E24" s="3">
        <v>12</v>
      </c>
      <c r="F24" s="3">
        <v>16</v>
      </c>
      <c r="G24" s="3">
        <v>192</v>
      </c>
      <c r="H24" s="3">
        <v>0.11</v>
      </c>
      <c r="I24" s="3">
        <v>21.12</v>
      </c>
      <c r="J24" s="3" t="s">
        <v>41</v>
      </c>
    </row>
    <row r="25" spans="1:10" x14ac:dyDescent="0.35">
      <c r="A25" s="3" t="s">
        <v>55</v>
      </c>
      <c r="B25" s="4">
        <v>43284</v>
      </c>
      <c r="C25" s="3" t="s">
        <v>34</v>
      </c>
      <c r="D25" s="3" t="s">
        <v>27</v>
      </c>
      <c r="E25" s="3">
        <v>6</v>
      </c>
      <c r="F25" s="3">
        <v>150</v>
      </c>
      <c r="G25" s="3">
        <v>900</v>
      </c>
      <c r="H25" s="3">
        <v>0.03</v>
      </c>
      <c r="I25" s="3">
        <v>27</v>
      </c>
      <c r="J25" s="3" t="s">
        <v>43</v>
      </c>
    </row>
    <row r="26" spans="1:10" x14ac:dyDescent="0.35">
      <c r="A26" s="3" t="s">
        <v>56</v>
      </c>
      <c r="B26" s="4">
        <v>43284</v>
      </c>
      <c r="C26" s="3" t="s">
        <v>30</v>
      </c>
      <c r="D26" s="3" t="s">
        <v>24</v>
      </c>
      <c r="E26" s="3">
        <v>11</v>
      </c>
      <c r="F26" s="3">
        <v>16</v>
      </c>
      <c r="G26" s="3">
        <v>176</v>
      </c>
      <c r="H26" s="3">
        <v>0.04</v>
      </c>
      <c r="I26" s="3">
        <v>7.04</v>
      </c>
      <c r="J26" s="3" t="s">
        <v>13</v>
      </c>
    </row>
    <row r="27" spans="1:10" x14ac:dyDescent="0.35">
      <c r="A27" s="3" t="s">
        <v>57</v>
      </c>
      <c r="B27" s="4">
        <v>43284</v>
      </c>
      <c r="C27" s="3" t="s">
        <v>11</v>
      </c>
      <c r="D27" s="3" t="s">
        <v>27</v>
      </c>
      <c r="E27" s="3">
        <v>22</v>
      </c>
      <c r="F27" s="3">
        <v>80</v>
      </c>
      <c r="G27" s="3">
        <v>1760</v>
      </c>
      <c r="H27" s="3">
        <v>0.03</v>
      </c>
      <c r="I27" s="3">
        <v>52.8</v>
      </c>
      <c r="J27" s="3" t="s">
        <v>17</v>
      </c>
    </row>
    <row r="28" spans="1:10" x14ac:dyDescent="0.35">
      <c r="A28" s="3" t="s">
        <v>58</v>
      </c>
      <c r="B28" s="4">
        <v>43284</v>
      </c>
      <c r="C28" s="3" t="s">
        <v>30</v>
      </c>
      <c r="D28" s="3" t="s">
        <v>16</v>
      </c>
      <c r="E28" s="3">
        <v>7</v>
      </c>
      <c r="F28" s="3">
        <v>16</v>
      </c>
      <c r="G28" s="3">
        <v>112</v>
      </c>
      <c r="H28" s="3">
        <v>0.08</v>
      </c>
      <c r="I28" s="3">
        <v>8.9600000000000009</v>
      </c>
      <c r="J28" s="3" t="s">
        <v>20</v>
      </c>
    </row>
    <row r="29" spans="1:10" x14ac:dyDescent="0.35">
      <c r="A29" s="3" t="s">
        <v>59</v>
      </c>
      <c r="B29" s="4">
        <v>43284</v>
      </c>
      <c r="C29" s="3" t="s">
        <v>15</v>
      </c>
      <c r="D29" s="3" t="s">
        <v>27</v>
      </c>
      <c r="E29" s="3">
        <v>13</v>
      </c>
      <c r="F29" s="3">
        <v>40</v>
      </c>
      <c r="G29" s="3">
        <v>520</v>
      </c>
      <c r="H29" s="3">
        <v>0.09</v>
      </c>
      <c r="I29" s="3">
        <v>46.8</v>
      </c>
      <c r="J29" s="3" t="s">
        <v>22</v>
      </c>
    </row>
    <row r="30" spans="1:10" x14ac:dyDescent="0.35">
      <c r="A30" s="3" t="s">
        <v>60</v>
      </c>
      <c r="B30" s="4">
        <v>43284</v>
      </c>
      <c r="C30" s="3" t="s">
        <v>19</v>
      </c>
      <c r="D30" s="3" t="s">
        <v>27</v>
      </c>
      <c r="E30" s="3">
        <v>8</v>
      </c>
      <c r="F30" s="3">
        <v>230</v>
      </c>
      <c r="G30" s="3">
        <v>1840</v>
      </c>
      <c r="H30" s="3">
        <v>0.05</v>
      </c>
      <c r="I30" s="3">
        <v>92</v>
      </c>
      <c r="J30" s="3" t="s">
        <v>25</v>
      </c>
    </row>
    <row r="31" spans="1:10" x14ac:dyDescent="0.35">
      <c r="A31" s="3" t="s">
        <v>61</v>
      </c>
      <c r="B31" s="4">
        <v>43284</v>
      </c>
      <c r="C31" s="3" t="s">
        <v>30</v>
      </c>
      <c r="D31" s="3" t="s">
        <v>27</v>
      </c>
      <c r="E31" s="3">
        <v>14</v>
      </c>
      <c r="F31" s="3">
        <v>16</v>
      </c>
      <c r="G31" s="3">
        <v>224</v>
      </c>
      <c r="H31" s="3">
        <v>0.12</v>
      </c>
      <c r="I31" s="3">
        <v>26.88</v>
      </c>
      <c r="J31" s="3" t="s">
        <v>28</v>
      </c>
    </row>
    <row r="32" spans="1:10" x14ac:dyDescent="0.35">
      <c r="A32" s="3" t="s">
        <v>62</v>
      </c>
      <c r="B32" s="4">
        <v>43284</v>
      </c>
      <c r="C32" s="3" t="s">
        <v>15</v>
      </c>
      <c r="D32" s="3" t="s">
        <v>31</v>
      </c>
      <c r="E32" s="3">
        <v>16</v>
      </c>
      <c r="F32" s="3">
        <v>40</v>
      </c>
      <c r="G32" s="3">
        <v>640</v>
      </c>
      <c r="H32" s="3">
        <v>0.09</v>
      </c>
      <c r="I32" s="3">
        <v>57.599999999999994</v>
      </c>
      <c r="J32" s="3" t="s">
        <v>32</v>
      </c>
    </row>
    <row r="33" spans="1:10" x14ac:dyDescent="0.35">
      <c r="A33" s="3" t="s">
        <v>63</v>
      </c>
      <c r="B33" s="4">
        <v>43285</v>
      </c>
      <c r="C33" s="3" t="s">
        <v>34</v>
      </c>
      <c r="D33" s="3" t="s">
        <v>16</v>
      </c>
      <c r="E33" s="3">
        <v>16</v>
      </c>
      <c r="F33" s="3">
        <v>150</v>
      </c>
      <c r="G33" s="3">
        <v>2400</v>
      </c>
      <c r="H33" s="3">
        <v>0.05</v>
      </c>
      <c r="I33" s="3">
        <v>120</v>
      </c>
      <c r="J33" s="3" t="s">
        <v>35</v>
      </c>
    </row>
    <row r="34" spans="1:10" x14ac:dyDescent="0.35">
      <c r="A34" s="3" t="s">
        <v>64</v>
      </c>
      <c r="B34" s="4">
        <v>43285</v>
      </c>
      <c r="C34" s="3" t="s">
        <v>15</v>
      </c>
      <c r="D34" s="3" t="s">
        <v>16</v>
      </c>
      <c r="E34" s="3">
        <v>12</v>
      </c>
      <c r="F34" s="3">
        <v>40</v>
      </c>
      <c r="G34" s="3">
        <v>480</v>
      </c>
      <c r="H34" s="3">
        <v>0.1</v>
      </c>
      <c r="I34" s="3">
        <v>48</v>
      </c>
      <c r="J34" s="3" t="s">
        <v>37</v>
      </c>
    </row>
    <row r="35" spans="1:10" x14ac:dyDescent="0.35">
      <c r="A35" s="3" t="s">
        <v>65</v>
      </c>
      <c r="B35" s="4">
        <v>43285</v>
      </c>
      <c r="C35" s="3" t="s">
        <v>11</v>
      </c>
      <c r="D35" s="3" t="s">
        <v>31</v>
      </c>
      <c r="E35" s="3">
        <v>17</v>
      </c>
      <c r="F35" s="3">
        <v>80</v>
      </c>
      <c r="G35" s="3">
        <v>1360</v>
      </c>
      <c r="H35" s="3">
        <v>7.0000000000000007E-2</v>
      </c>
      <c r="I35" s="3">
        <v>95.2</v>
      </c>
      <c r="J35" s="3" t="s">
        <v>39</v>
      </c>
    </row>
    <row r="36" spans="1:10" x14ac:dyDescent="0.35">
      <c r="A36" s="3" t="s">
        <v>66</v>
      </c>
      <c r="B36" s="4">
        <v>43285</v>
      </c>
      <c r="C36" s="3" t="s">
        <v>19</v>
      </c>
      <c r="D36" s="3" t="s">
        <v>27</v>
      </c>
      <c r="E36" s="3">
        <v>19</v>
      </c>
      <c r="F36" s="3">
        <v>230</v>
      </c>
      <c r="G36" s="3">
        <v>4370</v>
      </c>
      <c r="H36" s="3">
        <v>0.06</v>
      </c>
      <c r="I36" s="3">
        <v>262.2</v>
      </c>
      <c r="J36" s="3" t="s">
        <v>41</v>
      </c>
    </row>
    <row r="37" spans="1:10" x14ac:dyDescent="0.35">
      <c r="A37" s="3" t="s">
        <v>67</v>
      </c>
      <c r="B37" s="4">
        <v>43285</v>
      </c>
      <c r="C37" s="3" t="s">
        <v>19</v>
      </c>
      <c r="D37" s="3" t="s">
        <v>31</v>
      </c>
      <c r="E37" s="3">
        <v>22</v>
      </c>
      <c r="F37" s="3">
        <v>230</v>
      </c>
      <c r="G37" s="3">
        <v>5060</v>
      </c>
      <c r="H37" s="3">
        <v>0.1</v>
      </c>
      <c r="I37" s="3">
        <v>506</v>
      </c>
      <c r="J37" s="3" t="s">
        <v>43</v>
      </c>
    </row>
    <row r="38" spans="1:10" x14ac:dyDescent="0.35">
      <c r="A38" s="3" t="s">
        <v>68</v>
      </c>
      <c r="B38" s="4">
        <v>43285</v>
      </c>
      <c r="C38" s="3" t="s">
        <v>15</v>
      </c>
      <c r="D38" s="3" t="s">
        <v>27</v>
      </c>
      <c r="E38" s="3">
        <v>22</v>
      </c>
      <c r="F38" s="3">
        <v>40</v>
      </c>
      <c r="G38" s="3">
        <v>880</v>
      </c>
      <c r="H38" s="3">
        <v>0.01</v>
      </c>
      <c r="I38" s="3">
        <v>8.8000000000000007</v>
      </c>
      <c r="J38" s="3" t="s">
        <v>13</v>
      </c>
    </row>
    <row r="39" spans="1:10" x14ac:dyDescent="0.35">
      <c r="A39" s="3" t="s">
        <v>69</v>
      </c>
      <c r="B39" s="4">
        <v>43285</v>
      </c>
      <c r="C39" s="3" t="s">
        <v>30</v>
      </c>
      <c r="D39" s="3" t="s">
        <v>27</v>
      </c>
      <c r="E39" s="3">
        <v>10</v>
      </c>
      <c r="F39" s="3">
        <v>16</v>
      </c>
      <c r="G39" s="3">
        <v>160</v>
      </c>
      <c r="H39" s="3">
        <v>0.04</v>
      </c>
      <c r="I39" s="3">
        <v>6.4</v>
      </c>
      <c r="J39" s="3" t="s">
        <v>17</v>
      </c>
    </row>
    <row r="40" spans="1:10" x14ac:dyDescent="0.35">
      <c r="A40" s="3" t="s">
        <v>70</v>
      </c>
      <c r="B40" s="4">
        <v>43285</v>
      </c>
      <c r="C40" s="3" t="s">
        <v>15</v>
      </c>
      <c r="D40" s="3" t="s">
        <v>16</v>
      </c>
      <c r="E40" s="3">
        <v>4</v>
      </c>
      <c r="F40" s="3">
        <v>40</v>
      </c>
      <c r="G40" s="3">
        <v>160</v>
      </c>
      <c r="H40" s="3">
        <v>0.12</v>
      </c>
      <c r="I40" s="3">
        <v>19.2</v>
      </c>
      <c r="J40" s="3" t="s">
        <v>20</v>
      </c>
    </row>
    <row r="41" spans="1:10" x14ac:dyDescent="0.35">
      <c r="A41" s="3" t="s">
        <v>71</v>
      </c>
      <c r="B41" s="4">
        <v>43285</v>
      </c>
      <c r="C41" s="3" t="s">
        <v>15</v>
      </c>
      <c r="D41" s="3" t="s">
        <v>31</v>
      </c>
      <c r="E41" s="3">
        <v>20</v>
      </c>
      <c r="F41" s="3">
        <v>40</v>
      </c>
      <c r="G41" s="3">
        <v>800</v>
      </c>
      <c r="H41" s="3">
        <v>0.05</v>
      </c>
      <c r="I41" s="3">
        <v>40</v>
      </c>
      <c r="J41" s="3" t="s">
        <v>22</v>
      </c>
    </row>
    <row r="42" spans="1:10" x14ac:dyDescent="0.35">
      <c r="A42" s="3" t="s">
        <v>72</v>
      </c>
      <c r="B42" s="4">
        <v>43286</v>
      </c>
      <c r="C42" s="3" t="s">
        <v>19</v>
      </c>
      <c r="D42" s="3" t="s">
        <v>27</v>
      </c>
      <c r="E42" s="3">
        <v>23</v>
      </c>
      <c r="F42" s="3">
        <v>230</v>
      </c>
      <c r="G42" s="3">
        <v>5290</v>
      </c>
      <c r="H42" s="3">
        <v>0.06</v>
      </c>
      <c r="I42" s="3">
        <v>317.39999999999998</v>
      </c>
      <c r="J42" s="3" t="s">
        <v>25</v>
      </c>
    </row>
    <row r="43" spans="1:10" x14ac:dyDescent="0.35">
      <c r="A43" s="3" t="s">
        <v>73</v>
      </c>
      <c r="B43" s="4">
        <v>43286</v>
      </c>
      <c r="C43" s="3" t="s">
        <v>15</v>
      </c>
      <c r="D43" s="3" t="s">
        <v>24</v>
      </c>
      <c r="E43" s="3">
        <v>20</v>
      </c>
      <c r="F43" s="3">
        <v>40</v>
      </c>
      <c r="G43" s="3">
        <v>800</v>
      </c>
      <c r="H43" s="3">
        <v>0.01</v>
      </c>
      <c r="I43" s="3">
        <v>8</v>
      </c>
      <c r="J43" s="3" t="s">
        <v>28</v>
      </c>
    </row>
    <row r="44" spans="1:10" x14ac:dyDescent="0.35">
      <c r="A44" s="3" t="s">
        <v>74</v>
      </c>
      <c r="B44" s="4">
        <v>43286</v>
      </c>
      <c r="C44" s="3" t="s">
        <v>34</v>
      </c>
      <c r="D44" s="3" t="s">
        <v>24</v>
      </c>
      <c r="E44" s="3">
        <v>20</v>
      </c>
      <c r="F44" s="3">
        <v>150</v>
      </c>
      <c r="G44" s="3">
        <v>3000</v>
      </c>
      <c r="H44" s="3">
        <v>0.04</v>
      </c>
      <c r="I44" s="3">
        <v>120</v>
      </c>
      <c r="J44" s="3" t="s">
        <v>32</v>
      </c>
    </row>
    <row r="45" spans="1:10" x14ac:dyDescent="0.35">
      <c r="A45" s="3" t="s">
        <v>75</v>
      </c>
      <c r="B45" s="4">
        <v>43286</v>
      </c>
      <c r="C45" s="3" t="s">
        <v>11</v>
      </c>
      <c r="D45" s="3" t="s">
        <v>16</v>
      </c>
      <c r="E45" s="3">
        <v>9</v>
      </c>
      <c r="F45" s="3">
        <v>80</v>
      </c>
      <c r="G45" s="3">
        <v>720</v>
      </c>
      <c r="H45" s="3">
        <v>0.03</v>
      </c>
      <c r="I45" s="3">
        <v>21.599999999999998</v>
      </c>
      <c r="J45" s="3" t="s">
        <v>35</v>
      </c>
    </row>
    <row r="46" spans="1:10" x14ac:dyDescent="0.35">
      <c r="A46" s="3" t="s">
        <v>76</v>
      </c>
      <c r="B46" s="4">
        <v>43286</v>
      </c>
      <c r="C46" s="3" t="s">
        <v>19</v>
      </c>
      <c r="D46" s="3" t="s">
        <v>12</v>
      </c>
      <c r="E46" s="3">
        <v>7</v>
      </c>
      <c r="F46" s="3">
        <v>230</v>
      </c>
      <c r="G46" s="3">
        <v>1610</v>
      </c>
      <c r="H46" s="3">
        <v>0.02</v>
      </c>
      <c r="I46" s="3">
        <v>32.200000000000003</v>
      </c>
      <c r="J46" s="3" t="s">
        <v>37</v>
      </c>
    </row>
    <row r="47" spans="1:10" x14ac:dyDescent="0.35">
      <c r="A47" s="3" t="s">
        <v>77</v>
      </c>
      <c r="B47" s="4">
        <v>43286</v>
      </c>
      <c r="C47" s="3" t="s">
        <v>19</v>
      </c>
      <c r="D47" s="3" t="s">
        <v>12</v>
      </c>
      <c r="E47" s="3">
        <v>3</v>
      </c>
      <c r="F47" s="3">
        <v>230</v>
      </c>
      <c r="G47" s="3">
        <v>690</v>
      </c>
      <c r="H47" s="3">
        <v>0.06</v>
      </c>
      <c r="I47" s="3">
        <v>41.4</v>
      </c>
      <c r="J47" s="3" t="s">
        <v>39</v>
      </c>
    </row>
    <row r="48" spans="1:10" x14ac:dyDescent="0.35">
      <c r="A48" s="3" t="s">
        <v>78</v>
      </c>
      <c r="B48" s="4">
        <v>43286</v>
      </c>
      <c r="C48" s="3" t="s">
        <v>34</v>
      </c>
      <c r="D48" s="3" t="s">
        <v>12</v>
      </c>
      <c r="E48" s="3">
        <v>13</v>
      </c>
      <c r="F48" s="3">
        <v>150</v>
      </c>
      <c r="G48" s="3">
        <v>1950</v>
      </c>
      <c r="H48" s="3">
        <v>0.05</v>
      </c>
      <c r="I48" s="3">
        <v>97.5</v>
      </c>
      <c r="J48" s="3" t="s">
        <v>41</v>
      </c>
    </row>
    <row r="49" spans="1:10" x14ac:dyDescent="0.35">
      <c r="A49" s="3" t="s">
        <v>79</v>
      </c>
      <c r="B49" s="4">
        <v>43286</v>
      </c>
      <c r="C49" s="3" t="s">
        <v>11</v>
      </c>
      <c r="D49" s="3" t="s">
        <v>12</v>
      </c>
      <c r="E49" s="3">
        <v>17</v>
      </c>
      <c r="F49" s="3">
        <v>80</v>
      </c>
      <c r="G49" s="3">
        <v>1360</v>
      </c>
      <c r="H49" s="3">
        <v>0.09</v>
      </c>
      <c r="I49" s="3">
        <v>122.39999999999999</v>
      </c>
      <c r="J49" s="3" t="s">
        <v>43</v>
      </c>
    </row>
    <row r="50" spans="1:10" x14ac:dyDescent="0.35">
      <c r="A50" s="3" t="s">
        <v>80</v>
      </c>
      <c r="B50" s="4">
        <v>43287</v>
      </c>
      <c r="C50" s="3" t="s">
        <v>15</v>
      </c>
      <c r="D50" s="3" t="s">
        <v>27</v>
      </c>
      <c r="E50" s="3">
        <v>18</v>
      </c>
      <c r="F50" s="3">
        <v>40</v>
      </c>
      <c r="G50" s="3">
        <v>720</v>
      </c>
      <c r="H50" s="3">
        <v>0.06</v>
      </c>
      <c r="I50" s="3">
        <v>43.199999999999996</v>
      </c>
      <c r="J50" s="3" t="s">
        <v>13</v>
      </c>
    </row>
    <row r="51" spans="1:10" x14ac:dyDescent="0.35">
      <c r="A51" s="3" t="s">
        <v>81</v>
      </c>
      <c r="B51" s="4">
        <v>43287</v>
      </c>
      <c r="C51" s="3" t="s">
        <v>30</v>
      </c>
      <c r="D51" s="3" t="s">
        <v>24</v>
      </c>
      <c r="E51" s="3">
        <v>23</v>
      </c>
      <c r="F51" s="3">
        <v>16</v>
      </c>
      <c r="G51" s="3">
        <v>368</v>
      </c>
      <c r="H51" s="3">
        <v>0.11</v>
      </c>
      <c r="I51" s="3">
        <v>40.479999999999997</v>
      </c>
      <c r="J51" s="3" t="s">
        <v>17</v>
      </c>
    </row>
    <row r="52" spans="1:10" x14ac:dyDescent="0.35">
      <c r="A52" s="3" t="s">
        <v>82</v>
      </c>
      <c r="B52" s="4">
        <v>43287</v>
      </c>
      <c r="C52" s="3" t="s">
        <v>19</v>
      </c>
      <c r="D52" s="3" t="s">
        <v>24</v>
      </c>
      <c r="E52" s="3">
        <v>20</v>
      </c>
      <c r="F52" s="3">
        <v>230</v>
      </c>
      <c r="G52" s="3">
        <v>4600</v>
      </c>
      <c r="H52" s="3">
        <v>0.06</v>
      </c>
      <c r="I52" s="3">
        <v>276</v>
      </c>
      <c r="J52" s="3" t="s">
        <v>20</v>
      </c>
    </row>
    <row r="53" spans="1:10" x14ac:dyDescent="0.35">
      <c r="A53" s="3" t="s">
        <v>83</v>
      </c>
      <c r="B53" s="4">
        <v>43287</v>
      </c>
      <c r="C53" s="3" t="s">
        <v>30</v>
      </c>
      <c r="D53" s="3" t="s">
        <v>12</v>
      </c>
      <c r="E53" s="3">
        <v>11</v>
      </c>
      <c r="F53" s="3">
        <v>16</v>
      </c>
      <c r="G53" s="3">
        <v>176</v>
      </c>
      <c r="H53" s="3">
        <v>0.09</v>
      </c>
      <c r="I53" s="3">
        <v>15.84</v>
      </c>
      <c r="J53" s="3" t="s">
        <v>22</v>
      </c>
    </row>
    <row r="54" spans="1:10" x14ac:dyDescent="0.35">
      <c r="A54" s="3" t="s">
        <v>84</v>
      </c>
      <c r="B54" s="4">
        <v>43287</v>
      </c>
      <c r="C54" s="3" t="s">
        <v>34</v>
      </c>
      <c r="D54" s="3" t="s">
        <v>31</v>
      </c>
      <c r="E54" s="3">
        <v>15</v>
      </c>
      <c r="F54" s="3">
        <v>150</v>
      </c>
      <c r="G54" s="3">
        <v>2250</v>
      </c>
      <c r="H54" s="3">
        <v>7.0000000000000007E-2</v>
      </c>
      <c r="I54" s="3">
        <v>157.50000000000003</v>
      </c>
      <c r="J54" s="3" t="s">
        <v>25</v>
      </c>
    </row>
    <row r="55" spans="1:10" x14ac:dyDescent="0.35">
      <c r="A55" s="3" t="s">
        <v>85</v>
      </c>
      <c r="B55" s="4">
        <v>43287</v>
      </c>
      <c r="C55" s="3" t="s">
        <v>19</v>
      </c>
      <c r="D55" s="3" t="s">
        <v>16</v>
      </c>
      <c r="E55" s="3">
        <v>6</v>
      </c>
      <c r="F55" s="3">
        <v>230</v>
      </c>
      <c r="G55" s="3">
        <v>1380</v>
      </c>
      <c r="H55" s="3">
        <v>0.1</v>
      </c>
      <c r="I55" s="3">
        <v>138</v>
      </c>
      <c r="J55" s="3" t="s">
        <v>28</v>
      </c>
    </row>
    <row r="56" spans="1:10" x14ac:dyDescent="0.35">
      <c r="A56" s="3" t="s">
        <v>86</v>
      </c>
      <c r="B56" s="4">
        <v>43287</v>
      </c>
      <c r="C56" s="3" t="s">
        <v>15</v>
      </c>
      <c r="D56" s="3" t="s">
        <v>12</v>
      </c>
      <c r="E56" s="3">
        <v>22</v>
      </c>
      <c r="F56" s="3">
        <v>40</v>
      </c>
      <c r="G56" s="3">
        <v>880</v>
      </c>
      <c r="H56" s="3">
        <v>0.02</v>
      </c>
      <c r="I56" s="3">
        <v>17.600000000000001</v>
      </c>
      <c r="J56" s="3" t="s">
        <v>32</v>
      </c>
    </row>
    <row r="57" spans="1:10" x14ac:dyDescent="0.35">
      <c r="A57" s="3" t="s">
        <v>87</v>
      </c>
      <c r="B57" s="4">
        <v>43287</v>
      </c>
      <c r="C57" s="3" t="s">
        <v>15</v>
      </c>
      <c r="D57" s="3" t="s">
        <v>12</v>
      </c>
      <c r="E57" s="3">
        <v>15</v>
      </c>
      <c r="F57" s="3">
        <v>40</v>
      </c>
      <c r="G57" s="3">
        <v>600</v>
      </c>
      <c r="H57" s="3">
        <v>0.06</v>
      </c>
      <c r="I57" s="3">
        <v>36</v>
      </c>
      <c r="J57" s="3" t="s">
        <v>35</v>
      </c>
    </row>
    <row r="58" spans="1:10" x14ac:dyDescent="0.35">
      <c r="A58" s="3" t="s">
        <v>88</v>
      </c>
      <c r="B58" s="4">
        <v>43287</v>
      </c>
      <c r="C58" s="3" t="s">
        <v>30</v>
      </c>
      <c r="D58" s="3" t="s">
        <v>24</v>
      </c>
      <c r="E58" s="3">
        <v>12</v>
      </c>
      <c r="F58" s="3">
        <v>16</v>
      </c>
      <c r="G58" s="3">
        <v>192</v>
      </c>
      <c r="H58" s="3">
        <v>0.03</v>
      </c>
      <c r="I58" s="3">
        <v>5.76</v>
      </c>
      <c r="J58" s="3" t="s">
        <v>37</v>
      </c>
    </row>
    <row r="59" spans="1:10" x14ac:dyDescent="0.35">
      <c r="A59" s="3" t="s">
        <v>89</v>
      </c>
      <c r="B59" s="4">
        <v>43287</v>
      </c>
      <c r="C59" s="3" t="s">
        <v>30</v>
      </c>
      <c r="D59" s="3" t="s">
        <v>31</v>
      </c>
      <c r="E59" s="3">
        <v>22</v>
      </c>
      <c r="F59" s="3">
        <v>16</v>
      </c>
      <c r="G59" s="3">
        <v>352</v>
      </c>
      <c r="H59" s="3">
        <v>0.12</v>
      </c>
      <c r="I59" s="3">
        <v>42.239999999999995</v>
      </c>
      <c r="J59" s="3" t="s">
        <v>39</v>
      </c>
    </row>
    <row r="60" spans="1:10" x14ac:dyDescent="0.35">
      <c r="A60" s="3" t="s">
        <v>90</v>
      </c>
      <c r="B60" s="4">
        <v>43287</v>
      </c>
      <c r="C60" s="3" t="s">
        <v>11</v>
      </c>
      <c r="D60" s="3" t="s">
        <v>12</v>
      </c>
      <c r="E60" s="3">
        <v>21</v>
      </c>
      <c r="F60" s="3">
        <v>80</v>
      </c>
      <c r="G60" s="3">
        <v>1680</v>
      </c>
      <c r="H60" s="3">
        <v>0.04</v>
      </c>
      <c r="I60" s="3">
        <v>67.2</v>
      </c>
      <c r="J60" s="3" t="s">
        <v>41</v>
      </c>
    </row>
    <row r="61" spans="1:10" x14ac:dyDescent="0.35">
      <c r="A61" s="3" t="s">
        <v>91</v>
      </c>
      <c r="B61" s="4">
        <v>43287</v>
      </c>
      <c r="C61" s="3" t="s">
        <v>34</v>
      </c>
      <c r="D61" s="3" t="s">
        <v>12</v>
      </c>
      <c r="E61" s="3">
        <v>22</v>
      </c>
      <c r="F61" s="3">
        <v>150</v>
      </c>
      <c r="G61" s="3">
        <v>3300</v>
      </c>
      <c r="H61" s="3">
        <v>0.05</v>
      </c>
      <c r="I61" s="3">
        <v>165</v>
      </c>
      <c r="J61" s="3" t="s">
        <v>43</v>
      </c>
    </row>
    <row r="62" spans="1:10" x14ac:dyDescent="0.35">
      <c r="A62" s="3" t="s">
        <v>92</v>
      </c>
      <c r="B62" s="4">
        <v>43287</v>
      </c>
      <c r="C62" s="3" t="s">
        <v>11</v>
      </c>
      <c r="D62" s="3" t="s">
        <v>31</v>
      </c>
      <c r="E62" s="3">
        <v>21</v>
      </c>
      <c r="F62" s="3">
        <v>80</v>
      </c>
      <c r="G62" s="3">
        <v>1680</v>
      </c>
      <c r="H62" s="3">
        <v>0.09</v>
      </c>
      <c r="I62" s="3">
        <v>151.19999999999999</v>
      </c>
      <c r="J62" s="3" t="s">
        <v>13</v>
      </c>
    </row>
    <row r="63" spans="1:10" x14ac:dyDescent="0.35">
      <c r="A63" s="3" t="s">
        <v>93</v>
      </c>
      <c r="B63" s="4">
        <v>43287</v>
      </c>
      <c r="C63" s="3" t="s">
        <v>11</v>
      </c>
      <c r="D63" s="3" t="s">
        <v>27</v>
      </c>
      <c r="E63" s="3">
        <v>10</v>
      </c>
      <c r="F63" s="3">
        <v>80</v>
      </c>
      <c r="G63" s="3">
        <v>800</v>
      </c>
      <c r="H63" s="3">
        <v>0.1</v>
      </c>
      <c r="I63" s="3">
        <v>80</v>
      </c>
      <c r="J63" s="3" t="s">
        <v>17</v>
      </c>
    </row>
    <row r="64" spans="1:10" x14ac:dyDescent="0.35">
      <c r="A64" s="3" t="s">
        <v>94</v>
      </c>
      <c r="B64" s="4">
        <v>43287</v>
      </c>
      <c r="C64" s="3" t="s">
        <v>19</v>
      </c>
      <c r="D64" s="3" t="s">
        <v>16</v>
      </c>
      <c r="E64" s="3">
        <v>15</v>
      </c>
      <c r="F64" s="3">
        <v>230</v>
      </c>
      <c r="G64" s="3">
        <v>3450</v>
      </c>
      <c r="H64" s="3">
        <v>0.09</v>
      </c>
      <c r="I64" s="3">
        <v>310.5</v>
      </c>
      <c r="J64" s="3" t="s">
        <v>20</v>
      </c>
    </row>
    <row r="65" spans="1:10" x14ac:dyDescent="0.35">
      <c r="A65" s="3" t="s">
        <v>95</v>
      </c>
      <c r="B65" s="4">
        <v>43288</v>
      </c>
      <c r="C65" s="3" t="s">
        <v>11</v>
      </c>
      <c r="D65" s="3" t="s">
        <v>12</v>
      </c>
      <c r="E65" s="3">
        <v>14</v>
      </c>
      <c r="F65" s="3">
        <v>80</v>
      </c>
      <c r="G65" s="3">
        <v>1120</v>
      </c>
      <c r="H65" s="3">
        <v>0.08</v>
      </c>
      <c r="I65" s="3">
        <v>89.600000000000009</v>
      </c>
      <c r="J65" s="3" t="s">
        <v>22</v>
      </c>
    </row>
    <row r="66" spans="1:10" x14ac:dyDescent="0.35">
      <c r="A66" s="3" t="s">
        <v>96</v>
      </c>
      <c r="B66" s="4">
        <v>43288</v>
      </c>
      <c r="C66" s="3" t="s">
        <v>11</v>
      </c>
      <c r="D66" s="3" t="s">
        <v>31</v>
      </c>
      <c r="E66" s="3">
        <v>10</v>
      </c>
      <c r="F66" s="3">
        <v>80</v>
      </c>
      <c r="G66" s="3">
        <v>800</v>
      </c>
      <c r="H66" s="3">
        <v>0.06</v>
      </c>
      <c r="I66" s="3">
        <v>48</v>
      </c>
      <c r="J66" s="3" t="s">
        <v>25</v>
      </c>
    </row>
    <row r="67" spans="1:10" x14ac:dyDescent="0.35">
      <c r="A67" s="3" t="s">
        <v>97</v>
      </c>
      <c r="B67" s="4">
        <v>43288</v>
      </c>
      <c r="C67" s="3" t="s">
        <v>34</v>
      </c>
      <c r="D67" s="3" t="s">
        <v>12</v>
      </c>
      <c r="E67" s="3">
        <v>5</v>
      </c>
      <c r="F67" s="3">
        <v>150</v>
      </c>
      <c r="G67" s="3">
        <v>750</v>
      </c>
      <c r="H67" s="3">
        <v>0.11</v>
      </c>
      <c r="I67" s="3">
        <v>82.5</v>
      </c>
      <c r="J67" s="3" t="s">
        <v>28</v>
      </c>
    </row>
    <row r="68" spans="1:10" x14ac:dyDescent="0.35">
      <c r="A68" s="3" t="s">
        <v>98</v>
      </c>
      <c r="B68" s="4">
        <v>43288</v>
      </c>
      <c r="C68" s="3" t="s">
        <v>19</v>
      </c>
      <c r="D68" s="3" t="s">
        <v>27</v>
      </c>
      <c r="E68" s="3">
        <v>3</v>
      </c>
      <c r="F68" s="3">
        <v>230</v>
      </c>
      <c r="G68" s="3">
        <v>690</v>
      </c>
      <c r="H68" s="3">
        <v>0.01</v>
      </c>
      <c r="I68" s="3">
        <v>6.9</v>
      </c>
      <c r="J68" s="3" t="s">
        <v>32</v>
      </c>
    </row>
    <row r="69" spans="1:10" x14ac:dyDescent="0.35">
      <c r="A69" s="3" t="s">
        <v>99</v>
      </c>
      <c r="B69" s="4">
        <v>43288</v>
      </c>
      <c r="C69" s="3" t="s">
        <v>15</v>
      </c>
      <c r="D69" s="3" t="s">
        <v>27</v>
      </c>
      <c r="E69" s="3">
        <v>4</v>
      </c>
      <c r="F69" s="3">
        <v>40</v>
      </c>
      <c r="G69" s="3">
        <v>160</v>
      </c>
      <c r="H69" s="3">
        <v>0.05</v>
      </c>
      <c r="I69" s="3">
        <v>8</v>
      </c>
      <c r="J69" s="3" t="s">
        <v>35</v>
      </c>
    </row>
    <row r="70" spans="1:10" x14ac:dyDescent="0.35">
      <c r="A70" s="3" t="s">
        <v>100</v>
      </c>
      <c r="B70" s="4">
        <v>43288</v>
      </c>
      <c r="C70" s="3" t="s">
        <v>34</v>
      </c>
      <c r="D70" s="3" t="s">
        <v>24</v>
      </c>
      <c r="E70" s="3">
        <v>18</v>
      </c>
      <c r="F70" s="3">
        <v>150</v>
      </c>
      <c r="G70" s="3">
        <v>2700</v>
      </c>
      <c r="H70" s="3">
        <v>0.06</v>
      </c>
      <c r="I70" s="3">
        <v>162</v>
      </c>
      <c r="J70" s="3" t="s">
        <v>37</v>
      </c>
    </row>
    <row r="71" spans="1:10" x14ac:dyDescent="0.35">
      <c r="A71" s="3" t="s">
        <v>101</v>
      </c>
      <c r="B71" s="4">
        <v>43288</v>
      </c>
      <c r="C71" s="3" t="s">
        <v>15</v>
      </c>
      <c r="D71" s="3" t="s">
        <v>31</v>
      </c>
      <c r="E71" s="3">
        <v>20</v>
      </c>
      <c r="F71" s="3">
        <v>40</v>
      </c>
      <c r="G71" s="3">
        <v>800</v>
      </c>
      <c r="H71" s="3">
        <v>0.1</v>
      </c>
      <c r="I71" s="3">
        <v>80</v>
      </c>
      <c r="J71" s="3" t="s">
        <v>39</v>
      </c>
    </row>
    <row r="72" spans="1:10" x14ac:dyDescent="0.35">
      <c r="A72" s="3" t="s">
        <v>102</v>
      </c>
      <c r="B72" s="4">
        <v>43288</v>
      </c>
      <c r="C72" s="3" t="s">
        <v>11</v>
      </c>
      <c r="D72" s="3" t="s">
        <v>27</v>
      </c>
      <c r="E72" s="3">
        <v>16</v>
      </c>
      <c r="F72" s="3">
        <v>80</v>
      </c>
      <c r="G72" s="3">
        <v>1280</v>
      </c>
      <c r="H72" s="3">
        <v>0.05</v>
      </c>
      <c r="I72" s="3">
        <v>64</v>
      </c>
      <c r="J72" s="3" t="s">
        <v>13</v>
      </c>
    </row>
    <row r="73" spans="1:10" x14ac:dyDescent="0.35">
      <c r="A73" s="3" t="s">
        <v>103</v>
      </c>
      <c r="B73" s="4">
        <v>43288</v>
      </c>
      <c r="C73" s="3" t="s">
        <v>15</v>
      </c>
      <c r="D73" s="3" t="s">
        <v>24</v>
      </c>
      <c r="E73" s="3">
        <v>4</v>
      </c>
      <c r="F73" s="3">
        <v>40</v>
      </c>
      <c r="G73" s="3">
        <v>160</v>
      </c>
      <c r="H73" s="3">
        <v>0.06</v>
      </c>
      <c r="I73" s="3">
        <v>9.6</v>
      </c>
      <c r="J73" s="3" t="s">
        <v>17</v>
      </c>
    </row>
    <row r="74" spans="1:10" x14ac:dyDescent="0.35">
      <c r="A74" s="3" t="s">
        <v>104</v>
      </c>
      <c r="B74" s="4">
        <v>43288</v>
      </c>
      <c r="C74" s="3" t="s">
        <v>15</v>
      </c>
      <c r="D74" s="3" t="s">
        <v>16</v>
      </c>
      <c r="E74" s="3">
        <v>4</v>
      </c>
      <c r="F74" s="3">
        <v>40</v>
      </c>
      <c r="G74" s="3">
        <v>160</v>
      </c>
      <c r="H74" s="3">
        <v>0.03</v>
      </c>
      <c r="I74" s="3">
        <v>4.8</v>
      </c>
      <c r="J74" s="3" t="s">
        <v>20</v>
      </c>
    </row>
    <row r="75" spans="1:10" x14ac:dyDescent="0.35">
      <c r="A75" s="3" t="s">
        <v>105</v>
      </c>
      <c r="B75" s="4">
        <v>43288</v>
      </c>
      <c r="C75" s="3" t="s">
        <v>15</v>
      </c>
      <c r="D75" s="3" t="s">
        <v>16</v>
      </c>
      <c r="E75" s="3">
        <v>15</v>
      </c>
      <c r="F75" s="3">
        <v>40</v>
      </c>
      <c r="G75" s="3">
        <v>600</v>
      </c>
      <c r="H75" s="3">
        <v>0.02</v>
      </c>
      <c r="I75" s="3">
        <v>12</v>
      </c>
      <c r="J75" s="3" t="s">
        <v>22</v>
      </c>
    </row>
    <row r="76" spans="1:10" x14ac:dyDescent="0.35">
      <c r="A76" s="3" t="s">
        <v>106</v>
      </c>
      <c r="B76" s="4">
        <v>43288</v>
      </c>
      <c r="C76" s="3" t="s">
        <v>15</v>
      </c>
      <c r="D76" s="3" t="s">
        <v>24</v>
      </c>
      <c r="E76" s="3">
        <v>20</v>
      </c>
      <c r="F76" s="3">
        <v>40</v>
      </c>
      <c r="G76" s="3">
        <v>800</v>
      </c>
      <c r="H76" s="3">
        <v>0.01</v>
      </c>
      <c r="I76" s="3">
        <v>8</v>
      </c>
      <c r="J76" s="3" t="s">
        <v>25</v>
      </c>
    </row>
    <row r="77" spans="1:10" x14ac:dyDescent="0.35">
      <c r="A77" s="3" t="s">
        <v>107</v>
      </c>
      <c r="B77" s="4">
        <v>43288</v>
      </c>
      <c r="C77" s="3" t="s">
        <v>30</v>
      </c>
      <c r="D77" s="3" t="s">
        <v>31</v>
      </c>
      <c r="E77" s="3">
        <v>14</v>
      </c>
      <c r="F77" s="3">
        <v>16</v>
      </c>
      <c r="G77" s="3">
        <v>224</v>
      </c>
      <c r="H77" s="3">
        <v>0.06</v>
      </c>
      <c r="I77" s="3">
        <v>13.44</v>
      </c>
      <c r="J77" s="3" t="s">
        <v>28</v>
      </c>
    </row>
    <row r="78" spans="1:10" x14ac:dyDescent="0.35">
      <c r="A78" s="3" t="s">
        <v>108</v>
      </c>
      <c r="B78" s="4">
        <v>43289</v>
      </c>
      <c r="C78" s="3" t="s">
        <v>34</v>
      </c>
      <c r="D78" s="3" t="s">
        <v>24</v>
      </c>
      <c r="E78" s="3">
        <v>11</v>
      </c>
      <c r="F78" s="3">
        <v>150</v>
      </c>
      <c r="G78" s="3">
        <v>1650</v>
      </c>
      <c r="H78" s="3">
        <v>0.11</v>
      </c>
      <c r="I78" s="3">
        <v>181.5</v>
      </c>
      <c r="J78" s="3" t="s">
        <v>32</v>
      </c>
    </row>
    <row r="79" spans="1:10" x14ac:dyDescent="0.35">
      <c r="A79" s="3" t="s">
        <v>109</v>
      </c>
      <c r="B79" s="4">
        <v>43289</v>
      </c>
      <c r="C79" s="3" t="s">
        <v>34</v>
      </c>
      <c r="D79" s="3" t="s">
        <v>24</v>
      </c>
      <c r="E79" s="3">
        <v>9</v>
      </c>
      <c r="F79" s="3">
        <v>150</v>
      </c>
      <c r="G79" s="3">
        <v>1350</v>
      </c>
      <c r="H79" s="3">
        <v>0.02</v>
      </c>
      <c r="I79" s="3">
        <v>27</v>
      </c>
      <c r="J79" s="3" t="s">
        <v>35</v>
      </c>
    </row>
    <row r="80" spans="1:10" x14ac:dyDescent="0.35">
      <c r="A80" s="3" t="s">
        <v>110</v>
      </c>
      <c r="B80" s="4">
        <v>43289</v>
      </c>
      <c r="C80" s="3" t="s">
        <v>30</v>
      </c>
      <c r="D80" s="3" t="s">
        <v>31</v>
      </c>
      <c r="E80" s="3">
        <v>11</v>
      </c>
      <c r="F80" s="3">
        <v>16</v>
      </c>
      <c r="G80" s="3">
        <v>176</v>
      </c>
      <c r="H80" s="3">
        <v>0.12</v>
      </c>
      <c r="I80" s="3">
        <v>21.119999999999997</v>
      </c>
      <c r="J80" s="3" t="s">
        <v>37</v>
      </c>
    </row>
    <row r="81" spans="1:10" x14ac:dyDescent="0.35">
      <c r="A81" s="3" t="s">
        <v>111</v>
      </c>
      <c r="B81" s="4">
        <v>43289</v>
      </c>
      <c r="C81" s="3" t="s">
        <v>15</v>
      </c>
      <c r="D81" s="3" t="s">
        <v>24</v>
      </c>
      <c r="E81" s="3">
        <v>13</v>
      </c>
      <c r="F81" s="3">
        <v>40</v>
      </c>
      <c r="G81" s="3">
        <v>520</v>
      </c>
      <c r="H81" s="3">
        <v>0.02</v>
      </c>
      <c r="I81" s="3">
        <v>10.4</v>
      </c>
      <c r="J81" s="3" t="s">
        <v>39</v>
      </c>
    </row>
    <row r="82" spans="1:10" x14ac:dyDescent="0.35">
      <c r="A82" s="3" t="s">
        <v>112</v>
      </c>
      <c r="B82" s="4">
        <v>43289</v>
      </c>
      <c r="C82" s="3" t="s">
        <v>15</v>
      </c>
      <c r="D82" s="3" t="s">
        <v>24</v>
      </c>
      <c r="E82" s="3">
        <v>4</v>
      </c>
      <c r="F82" s="3">
        <v>40</v>
      </c>
      <c r="G82" s="3">
        <v>160</v>
      </c>
      <c r="H82" s="3">
        <v>0.1</v>
      </c>
      <c r="I82" s="3">
        <v>16</v>
      </c>
      <c r="J82" s="3" t="s">
        <v>41</v>
      </c>
    </row>
    <row r="83" spans="1:10" x14ac:dyDescent="0.35">
      <c r="A83" s="3" t="s">
        <v>113</v>
      </c>
      <c r="B83" s="4">
        <v>43289</v>
      </c>
      <c r="C83" s="3" t="s">
        <v>19</v>
      </c>
      <c r="D83" s="3" t="s">
        <v>12</v>
      </c>
      <c r="E83" s="3">
        <v>3</v>
      </c>
      <c r="F83" s="3">
        <v>230</v>
      </c>
      <c r="G83" s="3">
        <v>690</v>
      </c>
      <c r="H83" s="3">
        <v>0.11</v>
      </c>
      <c r="I83" s="3">
        <v>75.900000000000006</v>
      </c>
      <c r="J83" s="3" t="s">
        <v>43</v>
      </c>
    </row>
    <row r="84" spans="1:10" x14ac:dyDescent="0.35">
      <c r="A84" s="3" t="s">
        <v>114</v>
      </c>
      <c r="B84" s="4">
        <v>43289</v>
      </c>
      <c r="C84" s="3" t="s">
        <v>11</v>
      </c>
      <c r="D84" s="3" t="s">
        <v>24</v>
      </c>
      <c r="E84" s="3">
        <v>6</v>
      </c>
      <c r="F84" s="3">
        <v>80</v>
      </c>
      <c r="G84" s="3">
        <v>480</v>
      </c>
      <c r="H84" s="3">
        <v>0.09</v>
      </c>
      <c r="I84" s="3">
        <v>43.199999999999996</v>
      </c>
      <c r="J84" s="3" t="s">
        <v>13</v>
      </c>
    </row>
    <row r="85" spans="1:10" x14ac:dyDescent="0.35">
      <c r="A85" s="3" t="s">
        <v>115</v>
      </c>
      <c r="B85" s="4">
        <v>43289</v>
      </c>
      <c r="C85" s="3" t="s">
        <v>34</v>
      </c>
      <c r="D85" s="3" t="s">
        <v>12</v>
      </c>
      <c r="E85" s="3">
        <v>9</v>
      </c>
      <c r="F85" s="3">
        <v>150</v>
      </c>
      <c r="G85" s="3">
        <v>1350</v>
      </c>
      <c r="H85" s="3">
        <v>0.1</v>
      </c>
      <c r="I85" s="3">
        <v>135</v>
      </c>
      <c r="J85" s="3" t="s">
        <v>17</v>
      </c>
    </row>
    <row r="86" spans="1:10" x14ac:dyDescent="0.35">
      <c r="A86" s="3" t="s">
        <v>116</v>
      </c>
      <c r="B86" s="4">
        <v>43289</v>
      </c>
      <c r="C86" s="3" t="s">
        <v>11</v>
      </c>
      <c r="D86" s="3" t="s">
        <v>16</v>
      </c>
      <c r="E86" s="3">
        <v>14</v>
      </c>
      <c r="F86" s="3">
        <v>80</v>
      </c>
      <c r="G86" s="3">
        <v>1120</v>
      </c>
      <c r="H86" s="3">
        <v>0.11</v>
      </c>
      <c r="I86" s="3">
        <v>123.2</v>
      </c>
      <c r="J86" s="3" t="s">
        <v>20</v>
      </c>
    </row>
    <row r="87" spans="1:10" x14ac:dyDescent="0.35">
      <c r="A87" s="3" t="s">
        <v>117</v>
      </c>
      <c r="B87" s="4">
        <v>43289</v>
      </c>
      <c r="C87" s="3" t="s">
        <v>11</v>
      </c>
      <c r="D87" s="3" t="s">
        <v>12</v>
      </c>
      <c r="E87" s="3">
        <v>18</v>
      </c>
      <c r="F87" s="3">
        <v>80</v>
      </c>
      <c r="G87" s="3">
        <v>1440</v>
      </c>
      <c r="H87" s="3">
        <v>0.02</v>
      </c>
      <c r="I87" s="3">
        <v>28.8</v>
      </c>
      <c r="J87" s="3" t="s">
        <v>22</v>
      </c>
    </row>
    <row r="88" spans="1:10" x14ac:dyDescent="0.35">
      <c r="A88" s="3" t="s">
        <v>118</v>
      </c>
      <c r="B88" s="4">
        <v>43289</v>
      </c>
      <c r="C88" s="3" t="s">
        <v>15</v>
      </c>
      <c r="D88" s="3" t="s">
        <v>12</v>
      </c>
      <c r="E88" s="3">
        <v>20</v>
      </c>
      <c r="F88" s="3">
        <v>40</v>
      </c>
      <c r="G88" s="3">
        <v>800</v>
      </c>
      <c r="H88" s="3">
        <v>0.04</v>
      </c>
      <c r="I88" s="3">
        <v>32</v>
      </c>
      <c r="J88" s="3" t="s">
        <v>25</v>
      </c>
    </row>
    <row r="89" spans="1:10" x14ac:dyDescent="0.35">
      <c r="A89" s="3" t="s">
        <v>119</v>
      </c>
      <c r="B89" s="4">
        <v>43290</v>
      </c>
      <c r="C89" s="3" t="s">
        <v>30</v>
      </c>
      <c r="D89" s="3" t="s">
        <v>24</v>
      </c>
      <c r="E89" s="3">
        <v>8</v>
      </c>
      <c r="F89" s="3">
        <v>16</v>
      </c>
      <c r="G89" s="3">
        <v>128</v>
      </c>
      <c r="H89" s="3">
        <v>0.03</v>
      </c>
      <c r="I89" s="3">
        <v>3.84</v>
      </c>
      <c r="J89" s="3" t="s">
        <v>28</v>
      </c>
    </row>
    <row r="90" spans="1:10" x14ac:dyDescent="0.35">
      <c r="A90" s="3" t="s">
        <v>120</v>
      </c>
      <c r="B90" s="4">
        <v>43290</v>
      </c>
      <c r="C90" s="3" t="s">
        <v>11</v>
      </c>
      <c r="D90" s="3" t="s">
        <v>16</v>
      </c>
      <c r="E90" s="3">
        <v>14</v>
      </c>
      <c r="F90" s="3">
        <v>80</v>
      </c>
      <c r="G90" s="3">
        <v>1120</v>
      </c>
      <c r="H90" s="3">
        <v>0.06</v>
      </c>
      <c r="I90" s="3">
        <v>67.2</v>
      </c>
      <c r="J90" s="3" t="s">
        <v>32</v>
      </c>
    </row>
    <row r="91" spans="1:10" x14ac:dyDescent="0.35">
      <c r="A91" s="3" t="s">
        <v>121</v>
      </c>
      <c r="B91" s="4">
        <v>43290</v>
      </c>
      <c r="C91" s="3" t="s">
        <v>34</v>
      </c>
      <c r="D91" s="3" t="s">
        <v>12</v>
      </c>
      <c r="E91" s="3">
        <v>20</v>
      </c>
      <c r="F91" s="3">
        <v>150</v>
      </c>
      <c r="G91" s="3">
        <v>3000</v>
      </c>
      <c r="H91" s="3">
        <v>0.01</v>
      </c>
      <c r="I91" s="3">
        <v>30</v>
      </c>
      <c r="J91" s="3" t="s">
        <v>35</v>
      </c>
    </row>
    <row r="92" spans="1:10" x14ac:dyDescent="0.35">
      <c r="A92" s="3" t="s">
        <v>122</v>
      </c>
      <c r="B92" s="4">
        <v>43290</v>
      </c>
      <c r="C92" s="3" t="s">
        <v>15</v>
      </c>
      <c r="D92" s="3" t="s">
        <v>27</v>
      </c>
      <c r="E92" s="3">
        <v>15</v>
      </c>
      <c r="F92" s="3">
        <v>40</v>
      </c>
      <c r="G92" s="3">
        <v>600</v>
      </c>
      <c r="H92" s="3">
        <v>0.03</v>
      </c>
      <c r="I92" s="3">
        <v>18</v>
      </c>
      <c r="J92" s="3" t="s">
        <v>37</v>
      </c>
    </row>
    <row r="93" spans="1:10" x14ac:dyDescent="0.35">
      <c r="A93" s="3" t="s">
        <v>123</v>
      </c>
      <c r="B93" s="4">
        <v>43290</v>
      </c>
      <c r="C93" s="3" t="s">
        <v>15</v>
      </c>
      <c r="D93" s="3" t="s">
        <v>16</v>
      </c>
      <c r="E93" s="3">
        <v>18</v>
      </c>
      <c r="F93" s="3">
        <v>40</v>
      </c>
      <c r="G93" s="3">
        <v>720</v>
      </c>
      <c r="H93" s="3">
        <v>0.08</v>
      </c>
      <c r="I93" s="3">
        <v>57.6</v>
      </c>
      <c r="J93" s="3" t="s">
        <v>39</v>
      </c>
    </row>
    <row r="94" spans="1:10" x14ac:dyDescent="0.35">
      <c r="A94" s="3" t="s">
        <v>124</v>
      </c>
      <c r="B94" s="4">
        <v>43290</v>
      </c>
      <c r="C94" s="3" t="s">
        <v>15</v>
      </c>
      <c r="D94" s="3" t="s">
        <v>31</v>
      </c>
      <c r="E94" s="3">
        <v>11</v>
      </c>
      <c r="F94" s="3">
        <v>40</v>
      </c>
      <c r="G94" s="3">
        <v>440</v>
      </c>
      <c r="H94" s="3">
        <v>0.05</v>
      </c>
      <c r="I94" s="3">
        <v>22</v>
      </c>
      <c r="J94" s="3" t="s">
        <v>41</v>
      </c>
    </row>
    <row r="95" spans="1:10" x14ac:dyDescent="0.35">
      <c r="A95" s="3" t="s">
        <v>125</v>
      </c>
      <c r="B95" s="4">
        <v>43291</v>
      </c>
      <c r="C95" s="3" t="s">
        <v>15</v>
      </c>
      <c r="D95" s="3" t="s">
        <v>31</v>
      </c>
      <c r="E95" s="3">
        <v>23</v>
      </c>
      <c r="F95" s="3">
        <v>40</v>
      </c>
      <c r="G95" s="3">
        <v>920</v>
      </c>
      <c r="H95" s="3">
        <v>0.04</v>
      </c>
      <c r="I95" s="3">
        <v>36.800000000000004</v>
      </c>
      <c r="J95" s="3" t="s">
        <v>43</v>
      </c>
    </row>
    <row r="96" spans="1:10" x14ac:dyDescent="0.35">
      <c r="A96" s="3" t="s">
        <v>126</v>
      </c>
      <c r="B96" s="4">
        <v>43291</v>
      </c>
      <c r="C96" s="3" t="s">
        <v>30</v>
      </c>
      <c r="D96" s="3" t="s">
        <v>31</v>
      </c>
      <c r="E96" s="3">
        <v>17</v>
      </c>
      <c r="F96" s="3">
        <v>16</v>
      </c>
      <c r="G96" s="3">
        <v>272</v>
      </c>
      <c r="H96" s="3">
        <v>0.1</v>
      </c>
      <c r="I96" s="3">
        <v>27.200000000000003</v>
      </c>
      <c r="J96" s="3" t="s">
        <v>13</v>
      </c>
    </row>
    <row r="97" spans="1:10" x14ac:dyDescent="0.35">
      <c r="A97" s="3" t="s">
        <v>127</v>
      </c>
      <c r="B97" s="4">
        <v>43291</v>
      </c>
      <c r="C97" s="3" t="s">
        <v>30</v>
      </c>
      <c r="D97" s="3" t="s">
        <v>16</v>
      </c>
      <c r="E97" s="3">
        <v>4</v>
      </c>
      <c r="F97" s="3">
        <v>16</v>
      </c>
      <c r="G97" s="3">
        <v>64</v>
      </c>
      <c r="H97" s="3">
        <v>7.0000000000000007E-2</v>
      </c>
      <c r="I97" s="3">
        <v>4.4800000000000004</v>
      </c>
      <c r="J97" s="3" t="s">
        <v>17</v>
      </c>
    </row>
    <row r="98" spans="1:10" x14ac:dyDescent="0.35">
      <c r="A98" s="3" t="s">
        <v>128</v>
      </c>
      <c r="B98" s="4">
        <v>43291</v>
      </c>
      <c r="C98" s="3" t="s">
        <v>11</v>
      </c>
      <c r="D98" s="3" t="s">
        <v>24</v>
      </c>
      <c r="E98" s="3">
        <v>23</v>
      </c>
      <c r="F98" s="3">
        <v>80</v>
      </c>
      <c r="G98" s="3">
        <v>1840</v>
      </c>
      <c r="H98" s="3">
        <v>0.05</v>
      </c>
      <c r="I98" s="3">
        <v>92</v>
      </c>
      <c r="J98" s="3" t="s">
        <v>20</v>
      </c>
    </row>
    <row r="99" spans="1:10" x14ac:dyDescent="0.35">
      <c r="A99" s="3" t="s">
        <v>129</v>
      </c>
      <c r="B99" s="4">
        <v>43291</v>
      </c>
      <c r="C99" s="3" t="s">
        <v>19</v>
      </c>
      <c r="D99" s="3" t="s">
        <v>24</v>
      </c>
      <c r="E99" s="3">
        <v>10</v>
      </c>
      <c r="F99" s="3">
        <v>230</v>
      </c>
      <c r="G99" s="3">
        <v>2300</v>
      </c>
      <c r="H99" s="3">
        <v>0.02</v>
      </c>
      <c r="I99" s="3">
        <v>46</v>
      </c>
      <c r="J99" s="3" t="s">
        <v>22</v>
      </c>
    </row>
    <row r="100" spans="1:10" x14ac:dyDescent="0.35">
      <c r="A100" s="3" t="s">
        <v>130</v>
      </c>
      <c r="B100" s="4">
        <v>43291</v>
      </c>
      <c r="C100" s="3" t="s">
        <v>30</v>
      </c>
      <c r="D100" s="3" t="s">
        <v>24</v>
      </c>
      <c r="E100" s="3">
        <v>14</v>
      </c>
      <c r="F100" s="3">
        <v>16</v>
      </c>
      <c r="G100" s="3">
        <v>224</v>
      </c>
      <c r="H100" s="3">
        <v>0.01</v>
      </c>
      <c r="I100" s="3">
        <v>2.2400000000000002</v>
      </c>
      <c r="J100" s="3" t="s">
        <v>25</v>
      </c>
    </row>
    <row r="101" spans="1:10" x14ac:dyDescent="0.35">
      <c r="A101" s="3" t="s">
        <v>131</v>
      </c>
      <c r="B101" s="4">
        <v>43291</v>
      </c>
      <c r="C101" s="3" t="s">
        <v>15</v>
      </c>
      <c r="D101" s="3" t="s">
        <v>16</v>
      </c>
      <c r="E101" s="3">
        <v>19</v>
      </c>
      <c r="F101" s="3">
        <v>40</v>
      </c>
      <c r="G101" s="3">
        <v>760</v>
      </c>
      <c r="H101" s="3">
        <v>0.1</v>
      </c>
      <c r="I101" s="3">
        <v>76</v>
      </c>
      <c r="J101" s="3" t="s">
        <v>28</v>
      </c>
    </row>
    <row r="102" spans="1:10" x14ac:dyDescent="0.35">
      <c r="A102" s="3" t="s">
        <v>132</v>
      </c>
      <c r="B102" s="4">
        <v>43291</v>
      </c>
      <c r="C102" s="3" t="s">
        <v>11</v>
      </c>
      <c r="D102" s="3" t="s">
        <v>31</v>
      </c>
      <c r="E102" s="3">
        <v>22</v>
      </c>
      <c r="F102" s="3">
        <v>80</v>
      </c>
      <c r="G102" s="3">
        <v>1760</v>
      </c>
      <c r="H102" s="3">
        <v>0.09</v>
      </c>
      <c r="I102" s="3">
        <v>158.4</v>
      </c>
      <c r="J102" s="3" t="s">
        <v>32</v>
      </c>
    </row>
    <row r="103" spans="1:10" x14ac:dyDescent="0.35">
      <c r="A103" s="3" t="s">
        <v>133</v>
      </c>
      <c r="B103" s="4">
        <v>43291</v>
      </c>
      <c r="C103" s="3" t="s">
        <v>30</v>
      </c>
      <c r="D103" s="3" t="s">
        <v>12</v>
      </c>
      <c r="E103" s="3">
        <v>18</v>
      </c>
      <c r="F103" s="3">
        <v>16</v>
      </c>
      <c r="G103" s="3">
        <v>288</v>
      </c>
      <c r="H103" s="3">
        <v>0.05</v>
      </c>
      <c r="I103" s="3">
        <v>14.4</v>
      </c>
      <c r="J103" s="3" t="s">
        <v>35</v>
      </c>
    </row>
    <row r="104" spans="1:10" x14ac:dyDescent="0.35">
      <c r="A104" s="3" t="s">
        <v>134</v>
      </c>
      <c r="B104" s="4">
        <v>43291</v>
      </c>
      <c r="C104" s="3" t="s">
        <v>15</v>
      </c>
      <c r="D104" s="3" t="s">
        <v>12</v>
      </c>
      <c r="E104" s="3">
        <v>18</v>
      </c>
      <c r="F104" s="3">
        <v>40</v>
      </c>
      <c r="G104" s="3">
        <v>720</v>
      </c>
      <c r="H104" s="3">
        <v>0.11</v>
      </c>
      <c r="I104" s="3">
        <v>79.2</v>
      </c>
      <c r="J104" s="3" t="s">
        <v>37</v>
      </c>
    </row>
    <row r="105" spans="1:10" x14ac:dyDescent="0.35">
      <c r="A105" s="3" t="s">
        <v>135</v>
      </c>
      <c r="B105" s="4">
        <v>43291</v>
      </c>
      <c r="C105" s="3" t="s">
        <v>15</v>
      </c>
      <c r="D105" s="3" t="s">
        <v>31</v>
      </c>
      <c r="E105" s="3">
        <v>21</v>
      </c>
      <c r="F105" s="3">
        <v>40</v>
      </c>
      <c r="G105" s="3">
        <v>840</v>
      </c>
      <c r="H105" s="3">
        <v>0.01</v>
      </c>
      <c r="I105" s="3">
        <v>8.4</v>
      </c>
      <c r="J105" s="3" t="s">
        <v>39</v>
      </c>
    </row>
    <row r="106" spans="1:10" x14ac:dyDescent="0.35">
      <c r="A106" s="3" t="s">
        <v>136</v>
      </c>
      <c r="B106" s="4">
        <v>43291</v>
      </c>
      <c r="C106" s="3" t="s">
        <v>11</v>
      </c>
      <c r="D106" s="3" t="s">
        <v>12</v>
      </c>
      <c r="E106" s="3">
        <v>6</v>
      </c>
      <c r="F106" s="3">
        <v>80</v>
      </c>
      <c r="G106" s="3">
        <v>480</v>
      </c>
      <c r="H106" s="3">
        <v>7.0000000000000007E-2</v>
      </c>
      <c r="I106" s="3">
        <v>33.6</v>
      </c>
      <c r="J106" s="3" t="s">
        <v>41</v>
      </c>
    </row>
    <row r="107" spans="1:10" x14ac:dyDescent="0.35">
      <c r="A107" s="3" t="s">
        <v>137</v>
      </c>
      <c r="B107" s="4">
        <v>43291</v>
      </c>
      <c r="C107" s="3" t="s">
        <v>34</v>
      </c>
      <c r="D107" s="3" t="s">
        <v>31</v>
      </c>
      <c r="E107" s="3">
        <v>17</v>
      </c>
      <c r="F107" s="3">
        <v>150</v>
      </c>
      <c r="G107" s="3">
        <v>2550</v>
      </c>
      <c r="H107" s="3">
        <v>0.02</v>
      </c>
      <c r="I107" s="3">
        <v>51</v>
      </c>
      <c r="J107" s="3" t="s">
        <v>43</v>
      </c>
    </row>
    <row r="108" spans="1:10" x14ac:dyDescent="0.35">
      <c r="A108" s="3" t="s">
        <v>138</v>
      </c>
      <c r="B108" s="4">
        <v>43291</v>
      </c>
      <c r="C108" s="3" t="s">
        <v>11</v>
      </c>
      <c r="D108" s="3" t="s">
        <v>24</v>
      </c>
      <c r="E108" s="3">
        <v>16</v>
      </c>
      <c r="F108" s="3">
        <v>80</v>
      </c>
      <c r="G108" s="3">
        <v>1280</v>
      </c>
      <c r="H108" s="3">
        <v>0.02</v>
      </c>
      <c r="I108" s="3">
        <v>25.6</v>
      </c>
      <c r="J108" s="3" t="s">
        <v>13</v>
      </c>
    </row>
    <row r="109" spans="1:10" x14ac:dyDescent="0.35">
      <c r="A109" s="3" t="s">
        <v>139</v>
      </c>
      <c r="B109" s="4">
        <v>43291</v>
      </c>
      <c r="C109" s="3" t="s">
        <v>15</v>
      </c>
      <c r="D109" s="3" t="s">
        <v>16</v>
      </c>
      <c r="E109" s="3">
        <v>15</v>
      </c>
      <c r="F109" s="3">
        <v>40</v>
      </c>
      <c r="G109" s="3">
        <v>600</v>
      </c>
      <c r="H109" s="3">
        <v>0.04</v>
      </c>
      <c r="I109" s="3">
        <v>24</v>
      </c>
      <c r="J109" s="3" t="s">
        <v>17</v>
      </c>
    </row>
    <row r="110" spans="1:10" x14ac:dyDescent="0.35">
      <c r="A110" s="3" t="s">
        <v>140</v>
      </c>
      <c r="B110" s="4">
        <v>43291</v>
      </c>
      <c r="C110" s="3" t="s">
        <v>19</v>
      </c>
      <c r="D110" s="3" t="s">
        <v>27</v>
      </c>
      <c r="E110" s="3">
        <v>2</v>
      </c>
      <c r="F110" s="3">
        <v>230</v>
      </c>
      <c r="G110" s="3">
        <v>460</v>
      </c>
      <c r="H110" s="3">
        <v>0.08</v>
      </c>
      <c r="I110" s="3">
        <v>36.800000000000004</v>
      </c>
      <c r="J110" s="3" t="s">
        <v>20</v>
      </c>
    </row>
    <row r="111" spans="1:10" x14ac:dyDescent="0.35">
      <c r="A111" s="3" t="s">
        <v>141</v>
      </c>
      <c r="B111" s="4">
        <v>43291</v>
      </c>
      <c r="C111" s="3" t="s">
        <v>15</v>
      </c>
      <c r="D111" s="3" t="s">
        <v>31</v>
      </c>
      <c r="E111" s="3">
        <v>3</v>
      </c>
      <c r="F111" s="3">
        <v>40</v>
      </c>
      <c r="G111" s="3">
        <v>120</v>
      </c>
      <c r="H111" s="3">
        <v>0.03</v>
      </c>
      <c r="I111" s="3">
        <v>3.5999999999999996</v>
      </c>
      <c r="J111" s="3" t="s">
        <v>22</v>
      </c>
    </row>
    <row r="112" spans="1:10" x14ac:dyDescent="0.35">
      <c r="A112" s="3" t="s">
        <v>142</v>
      </c>
      <c r="B112" s="4">
        <v>43291</v>
      </c>
      <c r="C112" s="3" t="s">
        <v>19</v>
      </c>
      <c r="D112" s="3" t="s">
        <v>31</v>
      </c>
      <c r="E112" s="3">
        <v>21</v>
      </c>
      <c r="F112" s="3">
        <v>230</v>
      </c>
      <c r="G112" s="3">
        <v>4830</v>
      </c>
      <c r="H112" s="3">
        <v>0.05</v>
      </c>
      <c r="I112" s="3">
        <v>241.5</v>
      </c>
      <c r="J112" s="3" t="s">
        <v>25</v>
      </c>
    </row>
    <row r="113" spans="1:10" x14ac:dyDescent="0.35">
      <c r="A113" s="3" t="s">
        <v>143</v>
      </c>
      <c r="B113" s="4">
        <v>43291</v>
      </c>
      <c r="C113" s="3" t="s">
        <v>34</v>
      </c>
      <c r="D113" s="3" t="s">
        <v>12</v>
      </c>
      <c r="E113" s="3">
        <v>11</v>
      </c>
      <c r="F113" s="3">
        <v>150</v>
      </c>
      <c r="G113" s="3">
        <v>1650</v>
      </c>
      <c r="H113" s="3">
        <v>0.05</v>
      </c>
      <c r="I113" s="3">
        <v>82.5</v>
      </c>
      <c r="J113" s="3" t="s">
        <v>28</v>
      </c>
    </row>
    <row r="114" spans="1:10" x14ac:dyDescent="0.35">
      <c r="A114" s="3" t="s">
        <v>144</v>
      </c>
      <c r="B114" s="4">
        <v>43292</v>
      </c>
      <c r="C114" s="3" t="s">
        <v>34</v>
      </c>
      <c r="D114" s="3" t="s">
        <v>16</v>
      </c>
      <c r="E114" s="3">
        <v>15</v>
      </c>
      <c r="F114" s="3">
        <v>150</v>
      </c>
      <c r="G114" s="3">
        <v>2250</v>
      </c>
      <c r="H114" s="3">
        <v>0.02</v>
      </c>
      <c r="I114" s="3">
        <v>45</v>
      </c>
      <c r="J114" s="3" t="s">
        <v>32</v>
      </c>
    </row>
    <row r="115" spans="1:10" x14ac:dyDescent="0.35">
      <c r="A115" s="3" t="s">
        <v>145</v>
      </c>
      <c r="B115" s="4">
        <v>43292</v>
      </c>
      <c r="C115" s="3" t="s">
        <v>11</v>
      </c>
      <c r="D115" s="3" t="s">
        <v>27</v>
      </c>
      <c r="E115" s="3">
        <v>16</v>
      </c>
      <c r="F115" s="3">
        <v>80</v>
      </c>
      <c r="G115" s="3">
        <v>1280</v>
      </c>
      <c r="H115" s="3">
        <v>0.1</v>
      </c>
      <c r="I115" s="3">
        <v>128</v>
      </c>
      <c r="J115" s="3" t="s">
        <v>35</v>
      </c>
    </row>
    <row r="116" spans="1:10" x14ac:dyDescent="0.35">
      <c r="A116" s="3" t="s">
        <v>146</v>
      </c>
      <c r="B116" s="4">
        <v>43292</v>
      </c>
      <c r="C116" s="3" t="s">
        <v>19</v>
      </c>
      <c r="D116" s="3" t="s">
        <v>31</v>
      </c>
      <c r="E116" s="3">
        <v>17</v>
      </c>
      <c r="F116" s="3">
        <v>230</v>
      </c>
      <c r="G116" s="3">
        <v>3910</v>
      </c>
      <c r="H116" s="3">
        <v>0.11</v>
      </c>
      <c r="I116" s="3">
        <v>430.1</v>
      </c>
      <c r="J116" s="3" t="s">
        <v>37</v>
      </c>
    </row>
    <row r="117" spans="1:10" x14ac:dyDescent="0.35">
      <c r="A117" s="3" t="s">
        <v>147</v>
      </c>
      <c r="B117" s="4">
        <v>43292</v>
      </c>
      <c r="C117" s="3" t="s">
        <v>15</v>
      </c>
      <c r="D117" s="3" t="s">
        <v>31</v>
      </c>
      <c r="E117" s="3">
        <v>16</v>
      </c>
      <c r="F117" s="3">
        <v>40</v>
      </c>
      <c r="G117" s="3">
        <v>640</v>
      </c>
      <c r="H117" s="3">
        <v>0.11</v>
      </c>
      <c r="I117" s="3">
        <v>70.400000000000006</v>
      </c>
      <c r="J117" s="3" t="s">
        <v>39</v>
      </c>
    </row>
    <row r="118" spans="1:10" x14ac:dyDescent="0.35">
      <c r="A118" s="3" t="s">
        <v>148</v>
      </c>
      <c r="B118" s="4">
        <v>43292</v>
      </c>
      <c r="C118" s="3" t="s">
        <v>11</v>
      </c>
      <c r="D118" s="3" t="s">
        <v>27</v>
      </c>
      <c r="E118" s="3">
        <v>2</v>
      </c>
      <c r="F118" s="3">
        <v>80</v>
      </c>
      <c r="G118" s="3">
        <v>160</v>
      </c>
      <c r="H118" s="3">
        <v>0.08</v>
      </c>
      <c r="I118" s="3">
        <v>12.8</v>
      </c>
      <c r="J118" s="3" t="s">
        <v>41</v>
      </c>
    </row>
    <row r="119" spans="1:10" x14ac:dyDescent="0.35">
      <c r="A119" s="3" t="s">
        <v>149</v>
      </c>
      <c r="B119" s="4">
        <v>43292</v>
      </c>
      <c r="C119" s="3" t="s">
        <v>34</v>
      </c>
      <c r="D119" s="3" t="s">
        <v>16</v>
      </c>
      <c r="E119" s="3">
        <v>22</v>
      </c>
      <c r="F119" s="3">
        <v>150</v>
      </c>
      <c r="G119" s="3">
        <v>3300</v>
      </c>
      <c r="H119" s="3">
        <v>0.02</v>
      </c>
      <c r="I119" s="3">
        <v>66</v>
      </c>
      <c r="J119" s="3" t="s">
        <v>43</v>
      </c>
    </row>
    <row r="120" spans="1:10" x14ac:dyDescent="0.35">
      <c r="A120" s="3" t="s">
        <v>150</v>
      </c>
      <c r="B120" s="4">
        <v>43292</v>
      </c>
      <c r="C120" s="3" t="s">
        <v>11</v>
      </c>
      <c r="D120" s="3" t="s">
        <v>12</v>
      </c>
      <c r="E120" s="3">
        <v>16</v>
      </c>
      <c r="F120" s="3">
        <v>80</v>
      </c>
      <c r="G120" s="3">
        <v>1280</v>
      </c>
      <c r="H120" s="3">
        <v>0.03</v>
      </c>
      <c r="I120" s="3">
        <v>38.4</v>
      </c>
      <c r="J120" s="3" t="s">
        <v>13</v>
      </c>
    </row>
    <row r="121" spans="1:10" x14ac:dyDescent="0.35">
      <c r="A121" s="3" t="s">
        <v>151</v>
      </c>
      <c r="B121" s="4">
        <v>43293</v>
      </c>
      <c r="C121" s="3" t="s">
        <v>30</v>
      </c>
      <c r="D121" s="3" t="s">
        <v>12</v>
      </c>
      <c r="E121" s="3">
        <v>20</v>
      </c>
      <c r="F121" s="3">
        <v>16</v>
      </c>
      <c r="G121" s="3">
        <v>320</v>
      </c>
      <c r="H121" s="3">
        <v>0.11</v>
      </c>
      <c r="I121" s="3">
        <v>35.200000000000003</v>
      </c>
      <c r="J121" s="3" t="s">
        <v>17</v>
      </c>
    </row>
    <row r="122" spans="1:10" x14ac:dyDescent="0.35">
      <c r="A122" s="3" t="s">
        <v>152</v>
      </c>
      <c r="B122" s="4">
        <v>43293</v>
      </c>
      <c r="C122" s="3" t="s">
        <v>11</v>
      </c>
      <c r="D122" s="3" t="s">
        <v>31</v>
      </c>
      <c r="E122" s="3">
        <v>9</v>
      </c>
      <c r="F122" s="3">
        <v>80</v>
      </c>
      <c r="G122" s="3">
        <v>720</v>
      </c>
      <c r="H122" s="3">
        <v>7.0000000000000007E-2</v>
      </c>
      <c r="I122" s="3">
        <v>50.400000000000006</v>
      </c>
      <c r="J122" s="3" t="s">
        <v>20</v>
      </c>
    </row>
    <row r="123" spans="1:10" x14ac:dyDescent="0.35">
      <c r="A123" s="3" t="s">
        <v>153</v>
      </c>
      <c r="B123" s="4">
        <v>43293</v>
      </c>
      <c r="C123" s="3" t="s">
        <v>19</v>
      </c>
      <c r="D123" s="3" t="s">
        <v>31</v>
      </c>
      <c r="E123" s="3">
        <v>5</v>
      </c>
      <c r="F123" s="3">
        <v>230</v>
      </c>
      <c r="G123" s="3">
        <v>1150</v>
      </c>
      <c r="H123" s="3">
        <v>0.12</v>
      </c>
      <c r="I123" s="3">
        <v>138</v>
      </c>
      <c r="J123" s="3" t="s">
        <v>22</v>
      </c>
    </row>
    <row r="124" spans="1:10" x14ac:dyDescent="0.35">
      <c r="A124" s="3" t="s">
        <v>154</v>
      </c>
      <c r="B124" s="4">
        <v>43293</v>
      </c>
      <c r="C124" s="3" t="s">
        <v>30</v>
      </c>
      <c r="D124" s="3" t="s">
        <v>12</v>
      </c>
      <c r="E124" s="3">
        <v>20</v>
      </c>
      <c r="F124" s="3">
        <v>16</v>
      </c>
      <c r="G124" s="3">
        <v>320</v>
      </c>
      <c r="H124" s="3">
        <v>0.01</v>
      </c>
      <c r="I124" s="3">
        <v>3.2</v>
      </c>
      <c r="J124" s="3" t="s">
        <v>25</v>
      </c>
    </row>
    <row r="125" spans="1:10" x14ac:dyDescent="0.35">
      <c r="A125" s="3" t="s">
        <v>155</v>
      </c>
      <c r="B125" s="4">
        <v>43293</v>
      </c>
      <c r="C125" s="3" t="s">
        <v>30</v>
      </c>
      <c r="D125" s="3" t="s">
        <v>12</v>
      </c>
      <c r="E125" s="3">
        <v>16</v>
      </c>
      <c r="F125" s="3">
        <v>16</v>
      </c>
      <c r="G125" s="3">
        <v>256</v>
      </c>
      <c r="H125" s="3">
        <v>0.03</v>
      </c>
      <c r="I125" s="3">
        <v>7.68</v>
      </c>
      <c r="J125" s="3" t="s">
        <v>28</v>
      </c>
    </row>
    <row r="126" spans="1:10" x14ac:dyDescent="0.35">
      <c r="A126" s="3" t="s">
        <v>156</v>
      </c>
      <c r="B126" s="4">
        <v>43293</v>
      </c>
      <c r="C126" s="3" t="s">
        <v>34</v>
      </c>
      <c r="D126" s="3" t="s">
        <v>27</v>
      </c>
      <c r="E126" s="3">
        <v>15</v>
      </c>
      <c r="F126" s="3">
        <v>150</v>
      </c>
      <c r="G126" s="3">
        <v>2250</v>
      </c>
      <c r="H126" s="3">
        <v>0.05</v>
      </c>
      <c r="I126" s="3">
        <v>112.5</v>
      </c>
      <c r="J126" s="3" t="s">
        <v>32</v>
      </c>
    </row>
    <row r="127" spans="1:10" x14ac:dyDescent="0.35">
      <c r="A127" s="3" t="s">
        <v>157</v>
      </c>
      <c r="B127" s="4">
        <v>43293</v>
      </c>
      <c r="C127" s="3" t="s">
        <v>19</v>
      </c>
      <c r="D127" s="3" t="s">
        <v>16</v>
      </c>
      <c r="E127" s="3">
        <v>19</v>
      </c>
      <c r="F127" s="3">
        <v>230</v>
      </c>
      <c r="G127" s="3">
        <v>4370</v>
      </c>
      <c r="H127" s="3">
        <v>0.11</v>
      </c>
      <c r="I127" s="3">
        <v>480.7</v>
      </c>
      <c r="J127" s="3" t="s">
        <v>35</v>
      </c>
    </row>
    <row r="128" spans="1:10" x14ac:dyDescent="0.35">
      <c r="A128" s="3" t="s">
        <v>158</v>
      </c>
      <c r="B128" s="4">
        <v>43294</v>
      </c>
      <c r="C128" s="3" t="s">
        <v>34</v>
      </c>
      <c r="D128" s="3" t="s">
        <v>24</v>
      </c>
      <c r="E128" s="3">
        <v>2</v>
      </c>
      <c r="F128" s="3">
        <v>150</v>
      </c>
      <c r="G128" s="3">
        <v>300</v>
      </c>
      <c r="H128" s="3">
        <v>0.02</v>
      </c>
      <c r="I128" s="3">
        <v>6</v>
      </c>
      <c r="J128" s="3" t="s">
        <v>37</v>
      </c>
    </row>
    <row r="129" spans="1:10" x14ac:dyDescent="0.35">
      <c r="A129" s="3" t="s">
        <v>159</v>
      </c>
      <c r="B129" s="4">
        <v>43294</v>
      </c>
      <c r="C129" s="3" t="s">
        <v>11</v>
      </c>
      <c r="D129" s="3" t="s">
        <v>31</v>
      </c>
      <c r="E129" s="3">
        <v>16</v>
      </c>
      <c r="F129" s="3">
        <v>80</v>
      </c>
      <c r="G129" s="3">
        <v>1280</v>
      </c>
      <c r="H129" s="3">
        <v>0.05</v>
      </c>
      <c r="I129" s="3">
        <v>64</v>
      </c>
      <c r="J129" s="3" t="s">
        <v>39</v>
      </c>
    </row>
    <row r="130" spans="1:10" x14ac:dyDescent="0.35">
      <c r="A130" s="3" t="s">
        <v>160</v>
      </c>
      <c r="B130" s="4">
        <v>43294</v>
      </c>
      <c r="C130" s="3" t="s">
        <v>15</v>
      </c>
      <c r="D130" s="3" t="s">
        <v>24</v>
      </c>
      <c r="E130" s="3">
        <v>2</v>
      </c>
      <c r="F130" s="3">
        <v>40</v>
      </c>
      <c r="G130" s="3">
        <v>80</v>
      </c>
      <c r="H130" s="3">
        <v>0.03</v>
      </c>
      <c r="I130" s="3">
        <v>2.4</v>
      </c>
      <c r="J130" s="3" t="s">
        <v>41</v>
      </c>
    </row>
    <row r="131" spans="1:10" x14ac:dyDescent="0.35">
      <c r="A131" s="3" t="s">
        <v>161</v>
      </c>
      <c r="B131" s="4">
        <v>43294</v>
      </c>
      <c r="C131" s="3" t="s">
        <v>11</v>
      </c>
      <c r="D131" s="3" t="s">
        <v>16</v>
      </c>
      <c r="E131" s="3">
        <v>5</v>
      </c>
      <c r="F131" s="3">
        <v>80</v>
      </c>
      <c r="G131" s="3">
        <v>400</v>
      </c>
      <c r="H131" s="3">
        <v>0.04</v>
      </c>
      <c r="I131" s="3">
        <v>16</v>
      </c>
      <c r="J131" s="3" t="s">
        <v>43</v>
      </c>
    </row>
    <row r="132" spans="1:10" x14ac:dyDescent="0.35">
      <c r="A132" s="3" t="s">
        <v>162</v>
      </c>
      <c r="B132" s="4">
        <v>43294</v>
      </c>
      <c r="C132" s="3" t="s">
        <v>19</v>
      </c>
      <c r="D132" s="3" t="s">
        <v>27</v>
      </c>
      <c r="E132" s="3">
        <v>17</v>
      </c>
      <c r="F132" s="3">
        <v>230</v>
      </c>
      <c r="G132" s="3">
        <v>3910</v>
      </c>
      <c r="H132" s="3">
        <v>0.12</v>
      </c>
      <c r="I132" s="3">
        <v>469.2</v>
      </c>
      <c r="J132" s="3" t="s">
        <v>13</v>
      </c>
    </row>
    <row r="133" spans="1:10" x14ac:dyDescent="0.35">
      <c r="A133" s="3" t="s">
        <v>163</v>
      </c>
      <c r="B133" s="4">
        <v>43294</v>
      </c>
      <c r="C133" s="3" t="s">
        <v>11</v>
      </c>
      <c r="D133" s="3" t="s">
        <v>12</v>
      </c>
      <c r="E133" s="3">
        <v>8</v>
      </c>
      <c r="F133" s="3">
        <v>80</v>
      </c>
      <c r="G133" s="3">
        <v>640</v>
      </c>
      <c r="H133" s="3">
        <v>0.08</v>
      </c>
      <c r="I133" s="3">
        <v>51.2</v>
      </c>
      <c r="J133" s="3" t="s">
        <v>17</v>
      </c>
    </row>
    <row r="134" spans="1:10" x14ac:dyDescent="0.35">
      <c r="A134" s="3" t="s">
        <v>164</v>
      </c>
      <c r="B134" s="4">
        <v>43294</v>
      </c>
      <c r="C134" s="3" t="s">
        <v>15</v>
      </c>
      <c r="D134" s="3" t="s">
        <v>16</v>
      </c>
      <c r="E134" s="3">
        <v>4</v>
      </c>
      <c r="F134" s="3">
        <v>40</v>
      </c>
      <c r="G134" s="3">
        <v>160</v>
      </c>
      <c r="H134" s="3">
        <v>0.06</v>
      </c>
      <c r="I134" s="3">
        <v>9.6</v>
      </c>
      <c r="J134" s="3" t="s">
        <v>20</v>
      </c>
    </row>
    <row r="135" spans="1:10" x14ac:dyDescent="0.35">
      <c r="A135" s="3" t="s">
        <v>165</v>
      </c>
      <c r="B135" s="4">
        <v>43294</v>
      </c>
      <c r="C135" s="3" t="s">
        <v>30</v>
      </c>
      <c r="D135" s="3" t="s">
        <v>24</v>
      </c>
      <c r="E135" s="3">
        <v>17</v>
      </c>
      <c r="F135" s="3">
        <v>16</v>
      </c>
      <c r="G135" s="3">
        <v>272</v>
      </c>
      <c r="H135" s="3">
        <v>0.05</v>
      </c>
      <c r="I135" s="3">
        <v>13.600000000000001</v>
      </c>
      <c r="J135" s="3" t="s">
        <v>22</v>
      </c>
    </row>
    <row r="136" spans="1:10" x14ac:dyDescent="0.35">
      <c r="A136" s="3" t="s">
        <v>166</v>
      </c>
      <c r="B136" s="4">
        <v>43294</v>
      </c>
      <c r="C136" s="3" t="s">
        <v>19</v>
      </c>
      <c r="D136" s="3" t="s">
        <v>27</v>
      </c>
      <c r="E136" s="3">
        <v>8</v>
      </c>
      <c r="F136" s="3">
        <v>230</v>
      </c>
      <c r="G136" s="3">
        <v>1840</v>
      </c>
      <c r="H136" s="3">
        <v>0.01</v>
      </c>
      <c r="I136" s="3">
        <v>18.400000000000002</v>
      </c>
      <c r="J136" s="3" t="s">
        <v>25</v>
      </c>
    </row>
    <row r="137" spans="1:10" x14ac:dyDescent="0.35">
      <c r="A137" s="3" t="s">
        <v>167</v>
      </c>
      <c r="B137" s="4">
        <v>43294</v>
      </c>
      <c r="C137" s="3" t="s">
        <v>30</v>
      </c>
      <c r="D137" s="3" t="s">
        <v>31</v>
      </c>
      <c r="E137" s="3">
        <v>19</v>
      </c>
      <c r="F137" s="3">
        <v>16</v>
      </c>
      <c r="G137" s="3">
        <v>304</v>
      </c>
      <c r="H137" s="3">
        <v>0.02</v>
      </c>
      <c r="I137" s="3">
        <v>6.08</v>
      </c>
      <c r="J137" s="3" t="s">
        <v>28</v>
      </c>
    </row>
    <row r="138" spans="1:10" x14ac:dyDescent="0.35">
      <c r="A138" s="3" t="s">
        <v>168</v>
      </c>
      <c r="B138" s="4">
        <v>43295</v>
      </c>
      <c r="C138" s="3" t="s">
        <v>15</v>
      </c>
      <c r="D138" s="3" t="s">
        <v>12</v>
      </c>
      <c r="E138" s="3">
        <v>18</v>
      </c>
      <c r="F138" s="3">
        <v>40</v>
      </c>
      <c r="G138" s="3">
        <v>720</v>
      </c>
      <c r="H138" s="3">
        <v>0.06</v>
      </c>
      <c r="I138" s="3">
        <v>43.199999999999996</v>
      </c>
      <c r="J138" s="3" t="s">
        <v>32</v>
      </c>
    </row>
    <row r="139" spans="1:10" x14ac:dyDescent="0.35">
      <c r="A139" s="3" t="s">
        <v>169</v>
      </c>
      <c r="B139" s="4">
        <v>43295</v>
      </c>
      <c r="C139" s="3" t="s">
        <v>34</v>
      </c>
      <c r="D139" s="3" t="s">
        <v>31</v>
      </c>
      <c r="E139" s="3">
        <v>23</v>
      </c>
      <c r="F139" s="3">
        <v>150</v>
      </c>
      <c r="G139" s="3">
        <v>3450</v>
      </c>
      <c r="H139" s="3">
        <v>0.08</v>
      </c>
      <c r="I139" s="3">
        <v>276</v>
      </c>
      <c r="J139" s="3" t="s">
        <v>35</v>
      </c>
    </row>
    <row r="140" spans="1:10" x14ac:dyDescent="0.35">
      <c r="A140" s="3" t="s">
        <v>170</v>
      </c>
      <c r="B140" s="4">
        <v>43295</v>
      </c>
      <c r="C140" s="3" t="s">
        <v>19</v>
      </c>
      <c r="D140" s="3" t="s">
        <v>12</v>
      </c>
      <c r="E140" s="3">
        <v>5</v>
      </c>
      <c r="F140" s="3">
        <v>230</v>
      </c>
      <c r="G140" s="3">
        <v>1150</v>
      </c>
      <c r="H140" s="3">
        <v>0.1</v>
      </c>
      <c r="I140" s="3">
        <v>115</v>
      </c>
      <c r="J140" s="3" t="s">
        <v>37</v>
      </c>
    </row>
    <row r="141" spans="1:10" x14ac:dyDescent="0.35">
      <c r="A141" s="3" t="s">
        <v>171</v>
      </c>
      <c r="B141" s="4">
        <v>43295</v>
      </c>
      <c r="C141" s="3" t="s">
        <v>11</v>
      </c>
      <c r="D141" s="3" t="s">
        <v>27</v>
      </c>
      <c r="E141" s="3">
        <v>21</v>
      </c>
      <c r="F141" s="3">
        <v>80</v>
      </c>
      <c r="G141" s="3">
        <v>1680</v>
      </c>
      <c r="H141" s="3">
        <v>0.02</v>
      </c>
      <c r="I141" s="3">
        <v>33.6</v>
      </c>
      <c r="J141" s="3" t="s">
        <v>39</v>
      </c>
    </row>
    <row r="142" spans="1:10" x14ac:dyDescent="0.35">
      <c r="A142" s="3" t="s">
        <v>172</v>
      </c>
      <c r="B142" s="4">
        <v>43295</v>
      </c>
      <c r="C142" s="3" t="s">
        <v>30</v>
      </c>
      <c r="D142" s="3" t="s">
        <v>24</v>
      </c>
      <c r="E142" s="3">
        <v>6</v>
      </c>
      <c r="F142" s="3">
        <v>16</v>
      </c>
      <c r="G142" s="3">
        <v>96</v>
      </c>
      <c r="H142" s="3">
        <v>7.0000000000000007E-2</v>
      </c>
      <c r="I142" s="3">
        <v>6.7200000000000006</v>
      </c>
      <c r="J142" s="3" t="s">
        <v>13</v>
      </c>
    </row>
    <row r="143" spans="1:10" x14ac:dyDescent="0.35">
      <c r="A143" s="3" t="s">
        <v>173</v>
      </c>
      <c r="B143" s="4">
        <v>43295</v>
      </c>
      <c r="C143" s="3" t="s">
        <v>15</v>
      </c>
      <c r="D143" s="3" t="s">
        <v>12</v>
      </c>
      <c r="E143" s="3">
        <v>9</v>
      </c>
      <c r="F143" s="3">
        <v>40</v>
      </c>
      <c r="G143" s="3">
        <v>360</v>
      </c>
      <c r="H143" s="3">
        <v>0.01</v>
      </c>
      <c r="I143" s="3">
        <v>3.6</v>
      </c>
      <c r="J143" s="3" t="s">
        <v>17</v>
      </c>
    </row>
    <row r="144" spans="1:10" x14ac:dyDescent="0.35">
      <c r="A144" s="3" t="s">
        <v>174</v>
      </c>
      <c r="B144" s="4">
        <v>43295</v>
      </c>
      <c r="C144" s="3" t="s">
        <v>19</v>
      </c>
      <c r="D144" s="3" t="s">
        <v>16</v>
      </c>
      <c r="E144" s="3">
        <v>9</v>
      </c>
      <c r="F144" s="3">
        <v>230</v>
      </c>
      <c r="G144" s="3">
        <v>2070</v>
      </c>
      <c r="H144" s="3">
        <v>0.03</v>
      </c>
      <c r="I144" s="3">
        <v>62.099999999999994</v>
      </c>
      <c r="J144" s="3" t="s">
        <v>20</v>
      </c>
    </row>
    <row r="145" spans="1:10" x14ac:dyDescent="0.35">
      <c r="A145" s="3" t="s">
        <v>175</v>
      </c>
      <c r="B145" s="4">
        <v>43295</v>
      </c>
      <c r="C145" s="3" t="s">
        <v>19</v>
      </c>
      <c r="D145" s="3" t="s">
        <v>24</v>
      </c>
      <c r="E145" s="3">
        <v>5</v>
      </c>
      <c r="F145" s="3">
        <v>230</v>
      </c>
      <c r="G145" s="3">
        <v>1150</v>
      </c>
      <c r="H145" s="3">
        <v>0.1</v>
      </c>
      <c r="I145" s="3">
        <v>115</v>
      </c>
      <c r="J145" s="3" t="s">
        <v>22</v>
      </c>
    </row>
    <row r="146" spans="1:10" x14ac:dyDescent="0.35">
      <c r="A146" s="3" t="s">
        <v>176</v>
      </c>
      <c r="B146" s="4">
        <v>43295</v>
      </c>
      <c r="C146" s="3" t="s">
        <v>15</v>
      </c>
      <c r="D146" s="3" t="s">
        <v>27</v>
      </c>
      <c r="E146" s="3">
        <v>7</v>
      </c>
      <c r="F146" s="3">
        <v>40</v>
      </c>
      <c r="G146" s="3">
        <v>280</v>
      </c>
      <c r="H146" s="3">
        <v>0.11</v>
      </c>
      <c r="I146" s="3">
        <v>30.8</v>
      </c>
      <c r="J146" s="3" t="s">
        <v>25</v>
      </c>
    </row>
    <row r="147" spans="1:10" x14ac:dyDescent="0.35">
      <c r="A147" s="3" t="s">
        <v>177</v>
      </c>
      <c r="B147" s="4">
        <v>43295</v>
      </c>
      <c r="C147" s="3" t="s">
        <v>19</v>
      </c>
      <c r="D147" s="3" t="s">
        <v>12</v>
      </c>
      <c r="E147" s="3">
        <v>20</v>
      </c>
      <c r="F147" s="3">
        <v>230</v>
      </c>
      <c r="G147" s="3">
        <v>4600</v>
      </c>
      <c r="H147" s="3">
        <v>0.04</v>
      </c>
      <c r="I147" s="3">
        <v>184</v>
      </c>
      <c r="J147" s="3" t="s">
        <v>28</v>
      </c>
    </row>
    <row r="148" spans="1:10" x14ac:dyDescent="0.35">
      <c r="A148" s="3" t="s">
        <v>178</v>
      </c>
      <c r="B148" s="4">
        <v>43295</v>
      </c>
      <c r="C148" s="3" t="s">
        <v>34</v>
      </c>
      <c r="D148" s="3" t="s">
        <v>12</v>
      </c>
      <c r="E148" s="3">
        <v>22</v>
      </c>
      <c r="F148" s="3">
        <v>150</v>
      </c>
      <c r="G148" s="3">
        <v>3300</v>
      </c>
      <c r="H148" s="3">
        <v>7.0000000000000007E-2</v>
      </c>
      <c r="I148" s="3">
        <v>231.00000000000003</v>
      </c>
      <c r="J148" s="3" t="s">
        <v>32</v>
      </c>
    </row>
    <row r="149" spans="1:10" x14ac:dyDescent="0.35">
      <c r="A149" s="3" t="s">
        <v>179</v>
      </c>
      <c r="B149" s="4">
        <v>43296</v>
      </c>
      <c r="C149" s="3" t="s">
        <v>19</v>
      </c>
      <c r="D149" s="3" t="s">
        <v>24</v>
      </c>
      <c r="E149" s="3">
        <v>6</v>
      </c>
      <c r="F149" s="3">
        <v>230</v>
      </c>
      <c r="G149" s="3">
        <v>1380</v>
      </c>
      <c r="H149" s="3">
        <v>0.05</v>
      </c>
      <c r="I149" s="3">
        <v>69</v>
      </c>
      <c r="J149" s="3" t="s">
        <v>35</v>
      </c>
    </row>
    <row r="150" spans="1:10" x14ac:dyDescent="0.35">
      <c r="A150" s="3" t="s">
        <v>180</v>
      </c>
      <c r="B150" s="4">
        <v>43296</v>
      </c>
      <c r="C150" s="3" t="s">
        <v>19</v>
      </c>
      <c r="D150" s="3" t="s">
        <v>24</v>
      </c>
      <c r="E150" s="3">
        <v>15</v>
      </c>
      <c r="F150" s="3">
        <v>230</v>
      </c>
      <c r="G150" s="3">
        <v>3450</v>
      </c>
      <c r="H150" s="3">
        <v>0.11</v>
      </c>
      <c r="I150" s="3">
        <v>379.5</v>
      </c>
      <c r="J150" s="3" t="s">
        <v>37</v>
      </c>
    </row>
    <row r="151" spans="1:10" x14ac:dyDescent="0.35">
      <c r="A151" s="3" t="s">
        <v>181</v>
      </c>
      <c r="B151" s="4">
        <v>43296</v>
      </c>
      <c r="C151" s="3" t="s">
        <v>15</v>
      </c>
      <c r="D151" s="3" t="s">
        <v>16</v>
      </c>
      <c r="E151" s="3">
        <v>8</v>
      </c>
      <c r="F151" s="3">
        <v>40</v>
      </c>
      <c r="G151" s="3">
        <v>320</v>
      </c>
      <c r="H151" s="3">
        <v>0.09</v>
      </c>
      <c r="I151" s="3">
        <v>28.799999999999997</v>
      </c>
      <c r="J151" s="3" t="s">
        <v>39</v>
      </c>
    </row>
    <row r="152" spans="1:10" x14ac:dyDescent="0.35">
      <c r="A152" s="3" t="s">
        <v>182</v>
      </c>
      <c r="B152" s="4">
        <v>43296</v>
      </c>
      <c r="C152" s="3" t="s">
        <v>15</v>
      </c>
      <c r="D152" s="3" t="s">
        <v>12</v>
      </c>
      <c r="E152" s="3">
        <v>5</v>
      </c>
      <c r="F152" s="3">
        <v>40</v>
      </c>
      <c r="G152" s="3">
        <v>200</v>
      </c>
      <c r="H152" s="3">
        <v>0.06</v>
      </c>
      <c r="I152" s="3">
        <v>12</v>
      </c>
      <c r="J152" s="3" t="s">
        <v>41</v>
      </c>
    </row>
    <row r="153" spans="1:10" x14ac:dyDescent="0.35">
      <c r="A153" s="3" t="s">
        <v>183</v>
      </c>
      <c r="B153" s="4">
        <v>43296</v>
      </c>
      <c r="C153" s="3" t="s">
        <v>11</v>
      </c>
      <c r="D153" s="3" t="s">
        <v>31</v>
      </c>
      <c r="E153" s="3">
        <v>6</v>
      </c>
      <c r="F153" s="3">
        <v>80</v>
      </c>
      <c r="G153" s="3">
        <v>480</v>
      </c>
      <c r="H153" s="3">
        <v>0.09</v>
      </c>
      <c r="I153" s="3">
        <v>43.199999999999996</v>
      </c>
      <c r="J153" s="3" t="s">
        <v>43</v>
      </c>
    </row>
    <row r="154" spans="1:10" x14ac:dyDescent="0.35">
      <c r="A154" s="3" t="s">
        <v>184</v>
      </c>
      <c r="B154" s="4">
        <v>43296</v>
      </c>
      <c r="C154" s="3" t="s">
        <v>15</v>
      </c>
      <c r="D154" s="3" t="s">
        <v>27</v>
      </c>
      <c r="E154" s="3">
        <v>22</v>
      </c>
      <c r="F154" s="3">
        <v>40</v>
      </c>
      <c r="G154" s="3">
        <v>880</v>
      </c>
      <c r="H154" s="3">
        <v>0.01</v>
      </c>
      <c r="I154" s="3">
        <v>8.8000000000000007</v>
      </c>
      <c r="J154" s="3" t="s">
        <v>13</v>
      </c>
    </row>
    <row r="155" spans="1:10" x14ac:dyDescent="0.35">
      <c r="A155" s="3" t="s">
        <v>185</v>
      </c>
      <c r="B155" s="4">
        <v>43296</v>
      </c>
      <c r="C155" s="3" t="s">
        <v>30</v>
      </c>
      <c r="D155" s="3" t="s">
        <v>12</v>
      </c>
      <c r="E155" s="3">
        <v>7</v>
      </c>
      <c r="F155" s="3">
        <v>16</v>
      </c>
      <c r="G155" s="3">
        <v>112</v>
      </c>
      <c r="H155" s="3">
        <v>0.08</v>
      </c>
      <c r="I155" s="3">
        <v>8.9600000000000009</v>
      </c>
      <c r="J155" s="3" t="s">
        <v>17</v>
      </c>
    </row>
    <row r="156" spans="1:10" x14ac:dyDescent="0.35">
      <c r="A156" s="3" t="s">
        <v>186</v>
      </c>
      <c r="B156" s="4">
        <v>43296</v>
      </c>
      <c r="C156" s="3" t="s">
        <v>34</v>
      </c>
      <c r="D156" s="3" t="s">
        <v>24</v>
      </c>
      <c r="E156" s="3">
        <v>22</v>
      </c>
      <c r="F156" s="3">
        <v>150</v>
      </c>
      <c r="G156" s="3">
        <v>3300</v>
      </c>
      <c r="H156" s="3">
        <v>0.04</v>
      </c>
      <c r="I156" s="3">
        <v>132</v>
      </c>
      <c r="J156" s="3" t="s">
        <v>20</v>
      </c>
    </row>
    <row r="157" spans="1:10" x14ac:dyDescent="0.35">
      <c r="A157" s="3" t="s">
        <v>187</v>
      </c>
      <c r="B157" s="4">
        <v>43296</v>
      </c>
      <c r="C157" s="3" t="s">
        <v>30</v>
      </c>
      <c r="D157" s="3" t="s">
        <v>27</v>
      </c>
      <c r="E157" s="3">
        <v>15</v>
      </c>
      <c r="F157" s="3">
        <v>16</v>
      </c>
      <c r="G157" s="3">
        <v>240</v>
      </c>
      <c r="H157" s="3">
        <v>0.12</v>
      </c>
      <c r="I157" s="3">
        <v>28.799999999999997</v>
      </c>
      <c r="J157" s="3" t="s">
        <v>22</v>
      </c>
    </row>
    <row r="158" spans="1:10" x14ac:dyDescent="0.35">
      <c r="A158" s="3" t="s">
        <v>188</v>
      </c>
      <c r="B158" s="4">
        <v>43296</v>
      </c>
      <c r="C158" s="3" t="s">
        <v>11</v>
      </c>
      <c r="D158" s="3" t="s">
        <v>24</v>
      </c>
      <c r="E158" s="3">
        <v>20</v>
      </c>
      <c r="F158" s="3">
        <v>80</v>
      </c>
      <c r="G158" s="3">
        <v>1600</v>
      </c>
      <c r="H158" s="3">
        <v>7.0000000000000007E-2</v>
      </c>
      <c r="I158" s="3">
        <v>112.00000000000001</v>
      </c>
      <c r="J158" s="3" t="s">
        <v>25</v>
      </c>
    </row>
    <row r="159" spans="1:10" x14ac:dyDescent="0.35">
      <c r="A159" s="3" t="s">
        <v>189</v>
      </c>
      <c r="B159" s="4">
        <v>43296</v>
      </c>
      <c r="C159" s="3" t="s">
        <v>11</v>
      </c>
      <c r="D159" s="3" t="s">
        <v>24</v>
      </c>
      <c r="E159" s="3">
        <v>7</v>
      </c>
      <c r="F159" s="3">
        <v>80</v>
      </c>
      <c r="G159" s="3">
        <v>560</v>
      </c>
      <c r="H159" s="3">
        <v>0.05</v>
      </c>
      <c r="I159" s="3">
        <v>28</v>
      </c>
      <c r="J159" s="3" t="s">
        <v>28</v>
      </c>
    </row>
    <row r="160" spans="1:10" x14ac:dyDescent="0.35">
      <c r="A160" s="3" t="s">
        <v>190</v>
      </c>
      <c r="B160" s="4">
        <v>43296</v>
      </c>
      <c r="C160" s="3" t="s">
        <v>11</v>
      </c>
      <c r="D160" s="3" t="s">
        <v>16</v>
      </c>
      <c r="E160" s="3">
        <v>10</v>
      </c>
      <c r="F160" s="3">
        <v>80</v>
      </c>
      <c r="G160" s="3">
        <v>800</v>
      </c>
      <c r="H160" s="3">
        <v>0.11</v>
      </c>
      <c r="I160" s="3">
        <v>88</v>
      </c>
      <c r="J160" s="3" t="s">
        <v>32</v>
      </c>
    </row>
    <row r="161" spans="1:10" x14ac:dyDescent="0.35">
      <c r="A161" s="3" t="s">
        <v>191</v>
      </c>
      <c r="B161" s="4">
        <v>43296</v>
      </c>
      <c r="C161" s="3" t="s">
        <v>11</v>
      </c>
      <c r="D161" s="3" t="s">
        <v>16</v>
      </c>
      <c r="E161" s="3">
        <v>2</v>
      </c>
      <c r="F161" s="3">
        <v>80</v>
      </c>
      <c r="G161" s="3">
        <v>160</v>
      </c>
      <c r="H161" s="3">
        <v>7.0000000000000007E-2</v>
      </c>
      <c r="I161" s="3">
        <v>11.200000000000001</v>
      </c>
      <c r="J161" s="3" t="s">
        <v>35</v>
      </c>
    </row>
    <row r="162" spans="1:10" x14ac:dyDescent="0.35">
      <c r="A162" s="3" t="s">
        <v>192</v>
      </c>
      <c r="B162" s="4">
        <v>43296</v>
      </c>
      <c r="C162" s="3" t="s">
        <v>30</v>
      </c>
      <c r="D162" s="3" t="s">
        <v>31</v>
      </c>
      <c r="E162" s="3">
        <v>23</v>
      </c>
      <c r="F162" s="3">
        <v>16</v>
      </c>
      <c r="G162" s="3">
        <v>368</v>
      </c>
      <c r="H162" s="3">
        <v>0.01</v>
      </c>
      <c r="I162" s="3">
        <v>3.68</v>
      </c>
      <c r="J162" s="3" t="s">
        <v>37</v>
      </c>
    </row>
    <row r="163" spans="1:10" x14ac:dyDescent="0.35">
      <c r="A163" s="3" t="s">
        <v>193</v>
      </c>
      <c r="B163" s="4">
        <v>43296</v>
      </c>
      <c r="C163" s="3" t="s">
        <v>19</v>
      </c>
      <c r="D163" s="3" t="s">
        <v>16</v>
      </c>
      <c r="E163" s="3">
        <v>12</v>
      </c>
      <c r="F163" s="3">
        <v>230</v>
      </c>
      <c r="G163" s="3">
        <v>2760</v>
      </c>
      <c r="H163" s="3">
        <v>0.03</v>
      </c>
      <c r="I163" s="3">
        <v>82.8</v>
      </c>
      <c r="J163" s="3" t="s">
        <v>39</v>
      </c>
    </row>
    <row r="164" spans="1:10" x14ac:dyDescent="0.35">
      <c r="A164" s="3" t="s">
        <v>194</v>
      </c>
      <c r="B164" s="4">
        <v>43297</v>
      </c>
      <c r="C164" s="3" t="s">
        <v>19</v>
      </c>
      <c r="D164" s="3" t="s">
        <v>12</v>
      </c>
      <c r="E164" s="3">
        <v>7</v>
      </c>
      <c r="F164" s="3">
        <v>230</v>
      </c>
      <c r="G164" s="3">
        <v>1610</v>
      </c>
      <c r="H164" s="3">
        <v>0.08</v>
      </c>
      <c r="I164" s="3">
        <v>128.80000000000001</v>
      </c>
      <c r="J164" s="3" t="s">
        <v>41</v>
      </c>
    </row>
    <row r="165" spans="1:10" x14ac:dyDescent="0.35">
      <c r="A165" s="3" t="s">
        <v>195</v>
      </c>
      <c r="B165" s="4">
        <v>43297</v>
      </c>
      <c r="C165" s="3" t="s">
        <v>15</v>
      </c>
      <c r="D165" s="3" t="s">
        <v>27</v>
      </c>
      <c r="E165" s="3">
        <v>11</v>
      </c>
      <c r="F165" s="3">
        <v>40</v>
      </c>
      <c r="G165" s="3">
        <v>440</v>
      </c>
      <c r="H165" s="3">
        <v>0.06</v>
      </c>
      <c r="I165" s="3">
        <v>26.4</v>
      </c>
      <c r="J165" s="3" t="s">
        <v>43</v>
      </c>
    </row>
    <row r="166" spans="1:10" x14ac:dyDescent="0.35">
      <c r="A166" s="3" t="s">
        <v>196</v>
      </c>
      <c r="B166" s="4">
        <v>43297</v>
      </c>
      <c r="C166" s="3" t="s">
        <v>19</v>
      </c>
      <c r="D166" s="3" t="s">
        <v>16</v>
      </c>
      <c r="E166" s="3">
        <v>7</v>
      </c>
      <c r="F166" s="3">
        <v>230</v>
      </c>
      <c r="G166" s="3">
        <v>1610</v>
      </c>
      <c r="H166" s="3">
        <v>0.08</v>
      </c>
      <c r="I166" s="3">
        <v>128.80000000000001</v>
      </c>
      <c r="J166" s="3" t="s">
        <v>13</v>
      </c>
    </row>
    <row r="167" spans="1:10" x14ac:dyDescent="0.35">
      <c r="A167" s="3" t="s">
        <v>197</v>
      </c>
      <c r="B167" s="4">
        <v>43297</v>
      </c>
      <c r="C167" s="3" t="s">
        <v>11</v>
      </c>
      <c r="D167" s="3" t="s">
        <v>12</v>
      </c>
      <c r="E167" s="3">
        <v>8</v>
      </c>
      <c r="F167" s="3">
        <v>80</v>
      </c>
      <c r="G167" s="3">
        <v>640</v>
      </c>
      <c r="H167" s="3">
        <v>0.09</v>
      </c>
      <c r="I167" s="3">
        <v>57.599999999999994</v>
      </c>
      <c r="J167" s="3" t="s">
        <v>17</v>
      </c>
    </row>
    <row r="168" spans="1:10" x14ac:dyDescent="0.35">
      <c r="A168" s="3" t="s">
        <v>198</v>
      </c>
      <c r="B168" s="4">
        <v>43297</v>
      </c>
      <c r="C168" s="3" t="s">
        <v>11</v>
      </c>
      <c r="D168" s="3" t="s">
        <v>27</v>
      </c>
      <c r="E168" s="3">
        <v>16</v>
      </c>
      <c r="F168" s="3">
        <v>80</v>
      </c>
      <c r="G168" s="3">
        <v>1280</v>
      </c>
      <c r="H168" s="3">
        <v>7.0000000000000007E-2</v>
      </c>
      <c r="I168" s="3">
        <v>89.600000000000009</v>
      </c>
      <c r="J168" s="3" t="s">
        <v>20</v>
      </c>
    </row>
    <row r="169" spans="1:10" x14ac:dyDescent="0.35">
      <c r="A169" s="3" t="s">
        <v>199</v>
      </c>
      <c r="B169" s="4">
        <v>43297</v>
      </c>
      <c r="C169" s="3" t="s">
        <v>11</v>
      </c>
      <c r="D169" s="3" t="s">
        <v>24</v>
      </c>
      <c r="E169" s="3">
        <v>16</v>
      </c>
      <c r="F169" s="3">
        <v>80</v>
      </c>
      <c r="G169" s="3">
        <v>1280</v>
      </c>
      <c r="H169" s="3">
        <v>0.04</v>
      </c>
      <c r="I169" s="3">
        <v>51.2</v>
      </c>
      <c r="J169" s="3" t="s">
        <v>22</v>
      </c>
    </row>
    <row r="170" spans="1:10" x14ac:dyDescent="0.35">
      <c r="A170" s="3" t="s">
        <v>200</v>
      </c>
      <c r="B170" s="4">
        <v>43297</v>
      </c>
      <c r="C170" s="3" t="s">
        <v>30</v>
      </c>
      <c r="D170" s="3" t="s">
        <v>24</v>
      </c>
      <c r="E170" s="3">
        <v>9</v>
      </c>
      <c r="F170" s="3">
        <v>16</v>
      </c>
      <c r="G170" s="3">
        <v>144</v>
      </c>
      <c r="H170" s="3">
        <v>0.05</v>
      </c>
      <c r="I170" s="3">
        <v>7.2</v>
      </c>
      <c r="J170" s="3" t="s">
        <v>25</v>
      </c>
    </row>
    <row r="171" spans="1:10" x14ac:dyDescent="0.35">
      <c r="A171" s="3" t="s">
        <v>201</v>
      </c>
      <c r="B171" s="4">
        <v>43297</v>
      </c>
      <c r="C171" s="3" t="s">
        <v>34</v>
      </c>
      <c r="D171" s="3" t="s">
        <v>31</v>
      </c>
      <c r="E171" s="3">
        <v>11</v>
      </c>
      <c r="F171" s="3">
        <v>150</v>
      </c>
      <c r="G171" s="3">
        <v>1650</v>
      </c>
      <c r="H171" s="3">
        <v>0.09</v>
      </c>
      <c r="I171" s="3">
        <v>148.5</v>
      </c>
      <c r="J171" s="3" t="s">
        <v>28</v>
      </c>
    </row>
    <row r="172" spans="1:10" x14ac:dyDescent="0.35">
      <c r="A172" s="3" t="s">
        <v>202</v>
      </c>
      <c r="B172" s="4">
        <v>43297</v>
      </c>
      <c r="C172" s="3" t="s">
        <v>30</v>
      </c>
      <c r="D172" s="3" t="s">
        <v>12</v>
      </c>
      <c r="E172" s="3">
        <v>4</v>
      </c>
      <c r="F172" s="3">
        <v>16</v>
      </c>
      <c r="G172" s="3">
        <v>64</v>
      </c>
      <c r="H172" s="3">
        <v>0.12</v>
      </c>
      <c r="I172" s="3">
        <v>7.68</v>
      </c>
      <c r="J172" s="3" t="s">
        <v>32</v>
      </c>
    </row>
    <row r="173" spans="1:10" x14ac:dyDescent="0.35">
      <c r="A173" s="3" t="s">
        <v>203</v>
      </c>
      <c r="B173" s="4">
        <v>43297</v>
      </c>
      <c r="C173" s="3" t="s">
        <v>15</v>
      </c>
      <c r="D173" s="3" t="s">
        <v>27</v>
      </c>
      <c r="E173" s="3">
        <v>15</v>
      </c>
      <c r="F173" s="3">
        <v>40</v>
      </c>
      <c r="G173" s="3">
        <v>600</v>
      </c>
      <c r="H173" s="3">
        <v>0.03</v>
      </c>
      <c r="I173" s="3">
        <v>18</v>
      </c>
      <c r="J173" s="3" t="s">
        <v>35</v>
      </c>
    </row>
    <row r="174" spans="1:10" x14ac:dyDescent="0.35">
      <c r="A174" s="3" t="s">
        <v>204</v>
      </c>
      <c r="B174" s="4">
        <v>43297</v>
      </c>
      <c r="C174" s="3" t="s">
        <v>15</v>
      </c>
      <c r="D174" s="3" t="s">
        <v>31</v>
      </c>
      <c r="E174" s="3">
        <v>20</v>
      </c>
      <c r="F174" s="3">
        <v>40</v>
      </c>
      <c r="G174" s="3">
        <v>800</v>
      </c>
      <c r="H174" s="3">
        <v>0.03</v>
      </c>
      <c r="I174" s="3">
        <v>24</v>
      </c>
      <c r="J174" s="3" t="s">
        <v>37</v>
      </c>
    </row>
    <row r="175" spans="1:10" x14ac:dyDescent="0.35">
      <c r="A175" s="3" t="s">
        <v>205</v>
      </c>
      <c r="B175" s="4">
        <v>43298</v>
      </c>
      <c r="C175" s="3" t="s">
        <v>34</v>
      </c>
      <c r="D175" s="3" t="s">
        <v>24</v>
      </c>
      <c r="E175" s="3">
        <v>9</v>
      </c>
      <c r="F175" s="3">
        <v>150</v>
      </c>
      <c r="G175" s="3">
        <v>1350</v>
      </c>
      <c r="H175" s="3">
        <v>0.06</v>
      </c>
      <c r="I175" s="3">
        <v>81</v>
      </c>
      <c r="J175" s="3" t="s">
        <v>39</v>
      </c>
    </row>
    <row r="176" spans="1:10" x14ac:dyDescent="0.35">
      <c r="A176" s="3" t="s">
        <v>206</v>
      </c>
      <c r="B176" s="4">
        <v>43298</v>
      </c>
      <c r="C176" s="3" t="s">
        <v>15</v>
      </c>
      <c r="D176" s="3" t="s">
        <v>16</v>
      </c>
      <c r="E176" s="3">
        <v>23</v>
      </c>
      <c r="F176" s="3">
        <v>40</v>
      </c>
      <c r="G176" s="3">
        <v>920</v>
      </c>
      <c r="H176" s="3">
        <v>0.06</v>
      </c>
      <c r="I176" s="3">
        <v>55.199999999999996</v>
      </c>
      <c r="J176" s="3" t="s">
        <v>41</v>
      </c>
    </row>
    <row r="177" spans="1:10" x14ac:dyDescent="0.35">
      <c r="A177" s="3" t="s">
        <v>207</v>
      </c>
      <c r="B177" s="4">
        <v>43298</v>
      </c>
      <c r="C177" s="3" t="s">
        <v>11</v>
      </c>
      <c r="D177" s="3" t="s">
        <v>31</v>
      </c>
      <c r="E177" s="3">
        <v>13</v>
      </c>
      <c r="F177" s="3">
        <v>80</v>
      </c>
      <c r="G177" s="3">
        <v>1040</v>
      </c>
      <c r="H177" s="3">
        <v>0.05</v>
      </c>
      <c r="I177" s="3">
        <v>52</v>
      </c>
      <c r="J177" s="3" t="s">
        <v>43</v>
      </c>
    </row>
    <row r="178" spans="1:10" x14ac:dyDescent="0.35">
      <c r="A178" s="3" t="s">
        <v>208</v>
      </c>
      <c r="B178" s="4">
        <v>43298</v>
      </c>
      <c r="C178" s="3" t="s">
        <v>30</v>
      </c>
      <c r="D178" s="3" t="s">
        <v>12</v>
      </c>
      <c r="E178" s="3">
        <v>22</v>
      </c>
      <c r="F178" s="3">
        <v>16</v>
      </c>
      <c r="G178" s="3">
        <v>352</v>
      </c>
      <c r="H178" s="3">
        <v>0.01</v>
      </c>
      <c r="I178" s="3">
        <v>3.52</v>
      </c>
      <c r="J178" s="3" t="s">
        <v>13</v>
      </c>
    </row>
    <row r="179" spans="1:10" x14ac:dyDescent="0.35">
      <c r="A179" s="3" t="s">
        <v>209</v>
      </c>
      <c r="B179" s="4">
        <v>43298</v>
      </c>
      <c r="C179" s="3" t="s">
        <v>15</v>
      </c>
      <c r="D179" s="3" t="s">
        <v>12</v>
      </c>
      <c r="E179" s="3">
        <v>19</v>
      </c>
      <c r="F179" s="3">
        <v>40</v>
      </c>
      <c r="G179" s="3">
        <v>760</v>
      </c>
      <c r="H179" s="3">
        <v>0.04</v>
      </c>
      <c r="I179" s="3">
        <v>30.400000000000002</v>
      </c>
      <c r="J179" s="3" t="s">
        <v>17</v>
      </c>
    </row>
    <row r="180" spans="1:10" x14ac:dyDescent="0.35">
      <c r="A180" s="3" t="s">
        <v>210</v>
      </c>
      <c r="B180" s="4">
        <v>43298</v>
      </c>
      <c r="C180" s="3" t="s">
        <v>11</v>
      </c>
      <c r="D180" s="3" t="s">
        <v>27</v>
      </c>
      <c r="E180" s="3">
        <v>4</v>
      </c>
      <c r="F180" s="3">
        <v>80</v>
      </c>
      <c r="G180" s="3">
        <v>320</v>
      </c>
      <c r="H180" s="3">
        <v>0.11</v>
      </c>
      <c r="I180" s="3">
        <v>35.200000000000003</v>
      </c>
      <c r="J180" s="3" t="s">
        <v>20</v>
      </c>
    </row>
    <row r="181" spans="1:10" x14ac:dyDescent="0.35">
      <c r="A181" s="3" t="s">
        <v>211</v>
      </c>
      <c r="B181" s="4">
        <v>43298</v>
      </c>
      <c r="C181" s="3" t="s">
        <v>30</v>
      </c>
      <c r="D181" s="3" t="s">
        <v>12</v>
      </c>
      <c r="E181" s="3">
        <v>12</v>
      </c>
      <c r="F181" s="3">
        <v>16</v>
      </c>
      <c r="G181" s="3">
        <v>192</v>
      </c>
      <c r="H181" s="3">
        <v>0.11</v>
      </c>
      <c r="I181" s="3">
        <v>21.12</v>
      </c>
      <c r="J181" s="3" t="s">
        <v>22</v>
      </c>
    </row>
    <row r="182" spans="1:10" x14ac:dyDescent="0.35">
      <c r="A182" s="3" t="s">
        <v>212</v>
      </c>
      <c r="B182" s="4">
        <v>43298</v>
      </c>
      <c r="C182" s="3" t="s">
        <v>34</v>
      </c>
      <c r="D182" s="3" t="s">
        <v>16</v>
      </c>
      <c r="E182" s="3">
        <v>16</v>
      </c>
      <c r="F182" s="3">
        <v>150</v>
      </c>
      <c r="G182" s="3">
        <v>2400</v>
      </c>
      <c r="H182" s="3">
        <v>0.08</v>
      </c>
      <c r="I182" s="3">
        <v>192</v>
      </c>
      <c r="J182" s="3" t="s">
        <v>25</v>
      </c>
    </row>
    <row r="183" spans="1:10" x14ac:dyDescent="0.35">
      <c r="A183" s="3" t="s">
        <v>213</v>
      </c>
      <c r="B183" s="4">
        <v>43298</v>
      </c>
      <c r="C183" s="3" t="s">
        <v>11</v>
      </c>
      <c r="D183" s="3" t="s">
        <v>12</v>
      </c>
      <c r="E183" s="3">
        <v>7</v>
      </c>
      <c r="F183" s="3">
        <v>80</v>
      </c>
      <c r="G183" s="3">
        <v>560</v>
      </c>
      <c r="H183" s="3">
        <v>0.02</v>
      </c>
      <c r="I183" s="3">
        <v>11.200000000000001</v>
      </c>
      <c r="J183" s="3" t="s">
        <v>28</v>
      </c>
    </row>
    <row r="184" spans="1:10" x14ac:dyDescent="0.35">
      <c r="A184" s="3" t="s">
        <v>214</v>
      </c>
      <c r="B184" s="4">
        <v>43298</v>
      </c>
      <c r="C184" s="3" t="s">
        <v>15</v>
      </c>
      <c r="D184" s="3" t="s">
        <v>31</v>
      </c>
      <c r="E184" s="3">
        <v>20</v>
      </c>
      <c r="F184" s="3">
        <v>40</v>
      </c>
      <c r="G184" s="3">
        <v>800</v>
      </c>
      <c r="H184" s="3">
        <v>7.0000000000000007E-2</v>
      </c>
      <c r="I184" s="3">
        <v>56.000000000000007</v>
      </c>
      <c r="J184" s="3" t="s">
        <v>32</v>
      </c>
    </row>
    <row r="185" spans="1:10" x14ac:dyDescent="0.35">
      <c r="A185" s="3" t="s">
        <v>215</v>
      </c>
      <c r="B185" s="4">
        <v>43298</v>
      </c>
      <c r="C185" s="3" t="s">
        <v>11</v>
      </c>
      <c r="D185" s="3" t="s">
        <v>16</v>
      </c>
      <c r="E185" s="3">
        <v>15</v>
      </c>
      <c r="F185" s="3">
        <v>80</v>
      </c>
      <c r="G185" s="3">
        <v>1200</v>
      </c>
      <c r="H185" s="3">
        <v>0.12</v>
      </c>
      <c r="I185" s="3">
        <v>144</v>
      </c>
      <c r="J185" s="3" t="s">
        <v>35</v>
      </c>
    </row>
    <row r="186" spans="1:10" x14ac:dyDescent="0.35">
      <c r="A186" s="3" t="s">
        <v>216</v>
      </c>
      <c r="B186" s="4">
        <v>43298</v>
      </c>
      <c r="C186" s="3" t="s">
        <v>15</v>
      </c>
      <c r="D186" s="3" t="s">
        <v>12</v>
      </c>
      <c r="E186" s="3">
        <v>5</v>
      </c>
      <c r="F186" s="3">
        <v>40</v>
      </c>
      <c r="G186" s="3">
        <v>200</v>
      </c>
      <c r="H186" s="3">
        <v>0.09</v>
      </c>
      <c r="I186" s="3">
        <v>18</v>
      </c>
      <c r="J186" s="3" t="s">
        <v>37</v>
      </c>
    </row>
    <row r="187" spans="1:10" x14ac:dyDescent="0.35">
      <c r="A187" s="3" t="s">
        <v>217</v>
      </c>
      <c r="B187" s="4">
        <v>43298</v>
      </c>
      <c r="C187" s="3" t="s">
        <v>30</v>
      </c>
      <c r="D187" s="3" t="s">
        <v>31</v>
      </c>
      <c r="E187" s="3">
        <v>12</v>
      </c>
      <c r="F187" s="3">
        <v>16</v>
      </c>
      <c r="G187" s="3">
        <v>192</v>
      </c>
      <c r="H187" s="3">
        <v>0.04</v>
      </c>
      <c r="I187" s="3">
        <v>7.68</v>
      </c>
      <c r="J187" s="3" t="s">
        <v>39</v>
      </c>
    </row>
    <row r="188" spans="1:10" x14ac:dyDescent="0.35">
      <c r="A188" s="3" t="s">
        <v>218</v>
      </c>
      <c r="B188" s="4">
        <v>43299</v>
      </c>
      <c r="C188" s="3" t="s">
        <v>34</v>
      </c>
      <c r="D188" s="3" t="s">
        <v>27</v>
      </c>
      <c r="E188" s="3">
        <v>3</v>
      </c>
      <c r="F188" s="3">
        <v>150</v>
      </c>
      <c r="G188" s="3">
        <v>450</v>
      </c>
      <c r="H188" s="3">
        <v>0.01</v>
      </c>
      <c r="I188" s="3">
        <v>4.5</v>
      </c>
      <c r="J188" s="3" t="s">
        <v>41</v>
      </c>
    </row>
    <row r="189" spans="1:10" x14ac:dyDescent="0.35">
      <c r="A189" s="3" t="s">
        <v>219</v>
      </c>
      <c r="B189" s="4">
        <v>43299</v>
      </c>
      <c r="C189" s="3" t="s">
        <v>15</v>
      </c>
      <c r="D189" s="3" t="s">
        <v>31</v>
      </c>
      <c r="E189" s="3">
        <v>7</v>
      </c>
      <c r="F189" s="3">
        <v>40</v>
      </c>
      <c r="G189" s="3">
        <v>280</v>
      </c>
      <c r="H189" s="3">
        <v>0.12</v>
      </c>
      <c r="I189" s="3">
        <v>33.6</v>
      </c>
      <c r="J189" s="3" t="s">
        <v>43</v>
      </c>
    </row>
    <row r="190" spans="1:10" x14ac:dyDescent="0.35">
      <c r="A190" s="3" t="s">
        <v>220</v>
      </c>
      <c r="B190" s="4">
        <v>43299</v>
      </c>
      <c r="C190" s="3" t="s">
        <v>11</v>
      </c>
      <c r="D190" s="3" t="s">
        <v>16</v>
      </c>
      <c r="E190" s="3">
        <v>2</v>
      </c>
      <c r="F190" s="3">
        <v>80</v>
      </c>
      <c r="G190" s="3">
        <v>160</v>
      </c>
      <c r="H190" s="3">
        <v>0.04</v>
      </c>
      <c r="I190" s="3">
        <v>6.4</v>
      </c>
      <c r="J190" s="3" t="s">
        <v>13</v>
      </c>
    </row>
    <row r="191" spans="1:10" x14ac:dyDescent="0.35">
      <c r="A191" s="3" t="s">
        <v>221</v>
      </c>
      <c r="B191" s="4">
        <v>43299</v>
      </c>
      <c r="C191" s="3" t="s">
        <v>15</v>
      </c>
      <c r="D191" s="3" t="s">
        <v>27</v>
      </c>
      <c r="E191" s="3">
        <v>6</v>
      </c>
      <c r="F191" s="3">
        <v>40</v>
      </c>
      <c r="G191" s="3">
        <v>240</v>
      </c>
      <c r="H191" s="3">
        <v>7.0000000000000007E-2</v>
      </c>
      <c r="I191" s="3">
        <v>16.8</v>
      </c>
      <c r="J191" s="3" t="s">
        <v>17</v>
      </c>
    </row>
    <row r="192" spans="1:10" x14ac:dyDescent="0.35">
      <c r="A192" s="3" t="s">
        <v>222</v>
      </c>
      <c r="B192" s="4">
        <v>43299</v>
      </c>
      <c r="C192" s="3" t="s">
        <v>30</v>
      </c>
      <c r="D192" s="3" t="s">
        <v>24</v>
      </c>
      <c r="E192" s="3">
        <v>6</v>
      </c>
      <c r="F192" s="3">
        <v>16</v>
      </c>
      <c r="G192" s="3">
        <v>96</v>
      </c>
      <c r="H192" s="3">
        <v>0.06</v>
      </c>
      <c r="I192" s="3">
        <v>5.76</v>
      </c>
      <c r="J192" s="3" t="s">
        <v>20</v>
      </c>
    </row>
    <row r="193" spans="1:10" x14ac:dyDescent="0.35">
      <c r="A193" s="3" t="s">
        <v>223</v>
      </c>
      <c r="B193" s="4">
        <v>43299</v>
      </c>
      <c r="C193" s="3" t="s">
        <v>30</v>
      </c>
      <c r="D193" s="3" t="s">
        <v>12</v>
      </c>
      <c r="E193" s="3">
        <v>7</v>
      </c>
      <c r="F193" s="3">
        <v>16</v>
      </c>
      <c r="G193" s="3">
        <v>112</v>
      </c>
      <c r="H193" s="3">
        <v>0.02</v>
      </c>
      <c r="I193" s="3">
        <v>2.2400000000000002</v>
      </c>
      <c r="J193" s="3" t="s">
        <v>22</v>
      </c>
    </row>
    <row r="194" spans="1:10" x14ac:dyDescent="0.35">
      <c r="A194" s="3" t="s">
        <v>224</v>
      </c>
      <c r="B194" s="4">
        <v>43299</v>
      </c>
      <c r="C194" s="3" t="s">
        <v>30</v>
      </c>
      <c r="D194" s="3" t="s">
        <v>16</v>
      </c>
      <c r="E194" s="3">
        <v>20</v>
      </c>
      <c r="F194" s="3">
        <v>16</v>
      </c>
      <c r="G194" s="3">
        <v>320</v>
      </c>
      <c r="H194" s="3">
        <v>0.06</v>
      </c>
      <c r="I194" s="3">
        <v>19.2</v>
      </c>
      <c r="J194" s="3" t="s">
        <v>25</v>
      </c>
    </row>
    <row r="195" spans="1:10" x14ac:dyDescent="0.35">
      <c r="A195" s="3" t="s">
        <v>225</v>
      </c>
      <c r="B195" s="4">
        <v>43299</v>
      </c>
      <c r="C195" s="3" t="s">
        <v>30</v>
      </c>
      <c r="D195" s="3" t="s">
        <v>16</v>
      </c>
      <c r="E195" s="3">
        <v>21</v>
      </c>
      <c r="F195" s="3">
        <v>16</v>
      </c>
      <c r="G195" s="3">
        <v>336</v>
      </c>
      <c r="H195" s="3">
        <v>0.02</v>
      </c>
      <c r="I195" s="3">
        <v>6.72</v>
      </c>
      <c r="J195" s="3" t="s">
        <v>28</v>
      </c>
    </row>
    <row r="196" spans="1:10" x14ac:dyDescent="0.35">
      <c r="A196" s="3" t="s">
        <v>226</v>
      </c>
      <c r="B196" s="4">
        <v>43299</v>
      </c>
      <c r="C196" s="3" t="s">
        <v>11</v>
      </c>
      <c r="D196" s="3" t="s">
        <v>27</v>
      </c>
      <c r="E196" s="3">
        <v>21</v>
      </c>
      <c r="F196" s="3">
        <v>80</v>
      </c>
      <c r="G196" s="3">
        <v>1680</v>
      </c>
      <c r="H196" s="3">
        <v>0.05</v>
      </c>
      <c r="I196" s="3">
        <v>84</v>
      </c>
      <c r="J196" s="3" t="s">
        <v>32</v>
      </c>
    </row>
    <row r="197" spans="1:10" x14ac:dyDescent="0.35">
      <c r="A197" s="3" t="s">
        <v>227</v>
      </c>
      <c r="B197" s="4">
        <v>43299</v>
      </c>
      <c r="C197" s="3" t="s">
        <v>30</v>
      </c>
      <c r="D197" s="3" t="s">
        <v>27</v>
      </c>
      <c r="E197" s="3">
        <v>10</v>
      </c>
      <c r="F197" s="3">
        <v>16</v>
      </c>
      <c r="G197" s="3">
        <v>160</v>
      </c>
      <c r="H197" s="3">
        <v>0.01</v>
      </c>
      <c r="I197" s="3">
        <v>1.6</v>
      </c>
      <c r="J197" s="3" t="s">
        <v>35</v>
      </c>
    </row>
    <row r="198" spans="1:10" x14ac:dyDescent="0.35">
      <c r="A198" s="3" t="s">
        <v>228</v>
      </c>
      <c r="B198" s="4">
        <v>43300</v>
      </c>
      <c r="C198" s="3" t="s">
        <v>19</v>
      </c>
      <c r="D198" s="3" t="s">
        <v>27</v>
      </c>
      <c r="E198" s="3">
        <v>2</v>
      </c>
      <c r="F198" s="3">
        <v>230</v>
      </c>
      <c r="G198" s="3">
        <v>460</v>
      </c>
      <c r="H198" s="3">
        <v>0.09</v>
      </c>
      <c r="I198" s="3">
        <v>41.4</v>
      </c>
      <c r="J198" s="3" t="s">
        <v>37</v>
      </c>
    </row>
    <row r="199" spans="1:10" x14ac:dyDescent="0.35">
      <c r="A199" s="3" t="s">
        <v>229</v>
      </c>
      <c r="B199" s="4">
        <v>43300</v>
      </c>
      <c r="C199" s="3" t="s">
        <v>34</v>
      </c>
      <c r="D199" s="3" t="s">
        <v>12</v>
      </c>
      <c r="E199" s="3">
        <v>20</v>
      </c>
      <c r="F199" s="3">
        <v>150</v>
      </c>
      <c r="G199" s="3">
        <v>3000</v>
      </c>
      <c r="H199" s="3">
        <v>0.03</v>
      </c>
      <c r="I199" s="3">
        <v>90</v>
      </c>
      <c r="J199" s="3" t="s">
        <v>39</v>
      </c>
    </row>
    <row r="200" spans="1:10" x14ac:dyDescent="0.35">
      <c r="A200" s="3" t="s">
        <v>230</v>
      </c>
      <c r="B200" s="4">
        <v>43300</v>
      </c>
      <c r="C200" s="3" t="s">
        <v>15</v>
      </c>
      <c r="D200" s="3" t="s">
        <v>12</v>
      </c>
      <c r="E200" s="3">
        <v>23</v>
      </c>
      <c r="F200" s="3">
        <v>40</v>
      </c>
      <c r="G200" s="3">
        <v>920</v>
      </c>
      <c r="H200" s="3">
        <v>0.03</v>
      </c>
      <c r="I200" s="3">
        <v>27.599999999999998</v>
      </c>
      <c r="J200" s="3" t="s">
        <v>41</v>
      </c>
    </row>
    <row r="201" spans="1:10" x14ac:dyDescent="0.35">
      <c r="A201" s="3" t="s">
        <v>231</v>
      </c>
      <c r="B201" s="4">
        <v>43300</v>
      </c>
      <c r="C201" s="3" t="s">
        <v>11</v>
      </c>
      <c r="D201" s="3" t="s">
        <v>27</v>
      </c>
      <c r="E201" s="3">
        <v>17</v>
      </c>
      <c r="F201" s="3">
        <v>80</v>
      </c>
      <c r="G201" s="3">
        <v>1360</v>
      </c>
      <c r="H201" s="3">
        <v>0.05</v>
      </c>
      <c r="I201" s="3">
        <v>68</v>
      </c>
      <c r="J201" s="3" t="s">
        <v>43</v>
      </c>
    </row>
    <row r="202" spans="1:10" x14ac:dyDescent="0.35">
      <c r="A202" s="3" t="s">
        <v>232</v>
      </c>
      <c r="B202" s="4">
        <v>43300</v>
      </c>
      <c r="C202" s="3" t="s">
        <v>19</v>
      </c>
      <c r="D202" s="3" t="s">
        <v>27</v>
      </c>
      <c r="E202" s="3">
        <v>11</v>
      </c>
      <c r="F202" s="3">
        <v>230</v>
      </c>
      <c r="G202" s="3">
        <v>2530</v>
      </c>
      <c r="H202" s="3">
        <v>0.12</v>
      </c>
      <c r="I202" s="3">
        <v>303.59999999999997</v>
      </c>
      <c r="J202" s="3" t="s">
        <v>13</v>
      </c>
    </row>
    <row r="203" spans="1:10" x14ac:dyDescent="0.35">
      <c r="A203" s="3" t="s">
        <v>233</v>
      </c>
      <c r="B203" s="4">
        <v>43300</v>
      </c>
      <c r="C203" s="3" t="s">
        <v>34</v>
      </c>
      <c r="D203" s="3" t="s">
        <v>16</v>
      </c>
      <c r="E203" s="3">
        <v>10</v>
      </c>
      <c r="F203" s="3">
        <v>150</v>
      </c>
      <c r="G203" s="3">
        <v>1500</v>
      </c>
      <c r="H203" s="3">
        <v>0.01</v>
      </c>
      <c r="I203" s="3">
        <v>15</v>
      </c>
      <c r="J203" s="3" t="s">
        <v>17</v>
      </c>
    </row>
    <row r="204" spans="1:10" x14ac:dyDescent="0.35">
      <c r="A204" s="3" t="s">
        <v>234</v>
      </c>
      <c r="B204" s="4">
        <v>43300</v>
      </c>
      <c r="C204" s="3" t="s">
        <v>11</v>
      </c>
      <c r="D204" s="3" t="s">
        <v>16</v>
      </c>
      <c r="E204" s="3">
        <v>17</v>
      </c>
      <c r="F204" s="3">
        <v>80</v>
      </c>
      <c r="G204" s="3">
        <v>1360</v>
      </c>
      <c r="H204" s="3">
        <v>0.03</v>
      </c>
      <c r="I204" s="3">
        <v>40.799999999999997</v>
      </c>
      <c r="J204" s="3" t="s">
        <v>20</v>
      </c>
    </row>
    <row r="205" spans="1:10" x14ac:dyDescent="0.35">
      <c r="A205" s="3" t="s">
        <v>235</v>
      </c>
      <c r="B205" s="4">
        <v>43301</v>
      </c>
      <c r="C205" s="3" t="s">
        <v>19</v>
      </c>
      <c r="D205" s="3" t="s">
        <v>12</v>
      </c>
      <c r="E205" s="3">
        <v>9</v>
      </c>
      <c r="F205" s="3">
        <v>230</v>
      </c>
      <c r="G205" s="3">
        <v>2070</v>
      </c>
      <c r="H205" s="3">
        <v>7.0000000000000007E-2</v>
      </c>
      <c r="I205" s="3">
        <v>144.9</v>
      </c>
      <c r="J205" s="3" t="s">
        <v>22</v>
      </c>
    </row>
    <row r="206" spans="1:10" x14ac:dyDescent="0.35">
      <c r="A206" s="3" t="s">
        <v>236</v>
      </c>
      <c r="B206" s="4">
        <v>43301</v>
      </c>
      <c r="C206" s="3" t="s">
        <v>19</v>
      </c>
      <c r="D206" s="3" t="s">
        <v>12</v>
      </c>
      <c r="E206" s="3">
        <v>11</v>
      </c>
      <c r="F206" s="3">
        <v>230</v>
      </c>
      <c r="G206" s="3">
        <v>2530</v>
      </c>
      <c r="H206" s="3">
        <v>0.02</v>
      </c>
      <c r="I206" s="3">
        <v>50.6</v>
      </c>
      <c r="J206" s="3" t="s">
        <v>25</v>
      </c>
    </row>
    <row r="207" spans="1:10" x14ac:dyDescent="0.35">
      <c r="A207" s="3" t="s">
        <v>237</v>
      </c>
      <c r="B207" s="4">
        <v>43301</v>
      </c>
      <c r="C207" s="3" t="s">
        <v>15</v>
      </c>
      <c r="D207" s="3" t="s">
        <v>24</v>
      </c>
      <c r="E207" s="3">
        <v>2</v>
      </c>
      <c r="F207" s="3">
        <v>40</v>
      </c>
      <c r="G207" s="3">
        <v>80</v>
      </c>
      <c r="H207" s="3">
        <v>0.02</v>
      </c>
      <c r="I207" s="3">
        <v>1.6</v>
      </c>
      <c r="J207" s="3" t="s">
        <v>28</v>
      </c>
    </row>
    <row r="208" spans="1:10" x14ac:dyDescent="0.35">
      <c r="A208" s="3" t="s">
        <v>238</v>
      </c>
      <c r="B208" s="4">
        <v>43301</v>
      </c>
      <c r="C208" s="3" t="s">
        <v>19</v>
      </c>
      <c r="D208" s="3" t="s">
        <v>31</v>
      </c>
      <c r="E208" s="3">
        <v>3</v>
      </c>
      <c r="F208" s="3">
        <v>230</v>
      </c>
      <c r="G208" s="3">
        <v>690</v>
      </c>
      <c r="H208" s="3">
        <v>0.1</v>
      </c>
      <c r="I208" s="3">
        <v>69</v>
      </c>
      <c r="J208" s="3" t="s">
        <v>32</v>
      </c>
    </row>
    <row r="209" spans="1:10" x14ac:dyDescent="0.35">
      <c r="A209" s="3" t="s">
        <v>239</v>
      </c>
      <c r="B209" s="4">
        <v>43301</v>
      </c>
      <c r="C209" s="3" t="s">
        <v>15</v>
      </c>
      <c r="D209" s="3" t="s">
        <v>31</v>
      </c>
      <c r="E209" s="3">
        <v>7</v>
      </c>
      <c r="F209" s="3">
        <v>40</v>
      </c>
      <c r="G209" s="3">
        <v>280</v>
      </c>
      <c r="H209" s="3">
        <v>0.05</v>
      </c>
      <c r="I209" s="3">
        <v>14</v>
      </c>
      <c r="J209" s="3" t="s">
        <v>35</v>
      </c>
    </row>
    <row r="210" spans="1:10" x14ac:dyDescent="0.35">
      <c r="A210" s="3" t="s">
        <v>240</v>
      </c>
      <c r="B210" s="4">
        <v>43301</v>
      </c>
      <c r="C210" s="3" t="s">
        <v>34</v>
      </c>
      <c r="D210" s="3" t="s">
        <v>16</v>
      </c>
      <c r="E210" s="3">
        <v>20</v>
      </c>
      <c r="F210" s="3">
        <v>150</v>
      </c>
      <c r="G210" s="3">
        <v>3000</v>
      </c>
      <c r="H210" s="3">
        <v>0.09</v>
      </c>
      <c r="I210" s="3">
        <v>270</v>
      </c>
      <c r="J210" s="3" t="s">
        <v>37</v>
      </c>
    </row>
    <row r="211" spans="1:10" x14ac:dyDescent="0.35">
      <c r="A211" s="3" t="s">
        <v>241</v>
      </c>
      <c r="B211" s="4">
        <v>43301</v>
      </c>
      <c r="C211" s="3" t="s">
        <v>15</v>
      </c>
      <c r="D211" s="3" t="s">
        <v>24</v>
      </c>
      <c r="E211" s="3">
        <v>4</v>
      </c>
      <c r="F211" s="3">
        <v>40</v>
      </c>
      <c r="G211" s="3">
        <v>160</v>
      </c>
      <c r="H211" s="3">
        <v>0.11</v>
      </c>
      <c r="I211" s="3">
        <v>17.600000000000001</v>
      </c>
      <c r="J211" s="3" t="s">
        <v>39</v>
      </c>
    </row>
    <row r="212" spans="1:10" x14ac:dyDescent="0.35">
      <c r="A212" s="3" t="s">
        <v>242</v>
      </c>
      <c r="B212" s="4">
        <v>43302</v>
      </c>
      <c r="C212" s="3" t="s">
        <v>19</v>
      </c>
      <c r="D212" s="3" t="s">
        <v>24</v>
      </c>
      <c r="E212" s="3">
        <v>2</v>
      </c>
      <c r="F212" s="3">
        <v>230</v>
      </c>
      <c r="G212" s="3">
        <v>460</v>
      </c>
      <c r="H212" s="3">
        <v>0.09</v>
      </c>
      <c r="I212" s="3">
        <v>41.4</v>
      </c>
      <c r="J212" s="3" t="s">
        <v>13</v>
      </c>
    </row>
    <row r="213" spans="1:10" x14ac:dyDescent="0.35">
      <c r="A213" s="3" t="s">
        <v>243</v>
      </c>
      <c r="B213" s="4">
        <v>43302</v>
      </c>
      <c r="C213" s="3" t="s">
        <v>15</v>
      </c>
      <c r="D213" s="3" t="s">
        <v>16</v>
      </c>
      <c r="E213" s="3">
        <v>7</v>
      </c>
      <c r="F213" s="3">
        <v>40</v>
      </c>
      <c r="G213" s="3">
        <v>280</v>
      </c>
      <c r="H213" s="3">
        <v>0.01</v>
      </c>
      <c r="I213" s="3">
        <v>2.8000000000000003</v>
      </c>
      <c r="J213" s="3" t="s">
        <v>17</v>
      </c>
    </row>
    <row r="214" spans="1:10" x14ac:dyDescent="0.35">
      <c r="A214" s="3" t="s">
        <v>244</v>
      </c>
      <c r="B214" s="4">
        <v>43302</v>
      </c>
      <c r="C214" s="3" t="s">
        <v>15</v>
      </c>
      <c r="D214" s="3" t="s">
        <v>12</v>
      </c>
      <c r="E214" s="3">
        <v>2</v>
      </c>
      <c r="F214" s="3">
        <v>40</v>
      </c>
      <c r="G214" s="3">
        <v>80</v>
      </c>
      <c r="H214" s="3">
        <v>0.12</v>
      </c>
      <c r="I214" s="3">
        <v>9.6</v>
      </c>
      <c r="J214" s="3" t="s">
        <v>20</v>
      </c>
    </row>
    <row r="215" spans="1:10" x14ac:dyDescent="0.35">
      <c r="A215" s="3" t="s">
        <v>245</v>
      </c>
      <c r="B215" s="4">
        <v>43302</v>
      </c>
      <c r="C215" s="3" t="s">
        <v>11</v>
      </c>
      <c r="D215" s="3" t="s">
        <v>16</v>
      </c>
      <c r="E215" s="3">
        <v>3</v>
      </c>
      <c r="F215" s="3">
        <v>80</v>
      </c>
      <c r="G215" s="3">
        <v>240</v>
      </c>
      <c r="H215" s="3">
        <v>0.02</v>
      </c>
      <c r="I215" s="3">
        <v>4.8</v>
      </c>
      <c r="J215" s="3" t="s">
        <v>22</v>
      </c>
    </row>
    <row r="216" spans="1:10" x14ac:dyDescent="0.35">
      <c r="A216" s="3" t="s">
        <v>246</v>
      </c>
      <c r="B216" s="4">
        <v>43302</v>
      </c>
      <c r="C216" s="3" t="s">
        <v>30</v>
      </c>
      <c r="D216" s="3" t="s">
        <v>12</v>
      </c>
      <c r="E216" s="3">
        <v>18</v>
      </c>
      <c r="F216" s="3">
        <v>16</v>
      </c>
      <c r="G216" s="3">
        <v>288</v>
      </c>
      <c r="H216" s="3">
        <v>0.11</v>
      </c>
      <c r="I216" s="3">
        <v>31.68</v>
      </c>
      <c r="J216" s="3" t="s">
        <v>25</v>
      </c>
    </row>
    <row r="217" spans="1:10" x14ac:dyDescent="0.35">
      <c r="A217" s="3" t="s">
        <v>247</v>
      </c>
      <c r="B217" s="4">
        <v>43302</v>
      </c>
      <c r="C217" s="3" t="s">
        <v>11</v>
      </c>
      <c r="D217" s="3" t="s">
        <v>16</v>
      </c>
      <c r="E217" s="3">
        <v>5</v>
      </c>
      <c r="F217" s="3">
        <v>80</v>
      </c>
      <c r="G217" s="3">
        <v>400</v>
      </c>
      <c r="H217" s="3">
        <v>7.0000000000000007E-2</v>
      </c>
      <c r="I217" s="3">
        <v>28.000000000000004</v>
      </c>
      <c r="J217" s="3" t="s">
        <v>28</v>
      </c>
    </row>
    <row r="218" spans="1:10" x14ac:dyDescent="0.35">
      <c r="A218" s="3" t="s">
        <v>248</v>
      </c>
      <c r="B218" s="4">
        <v>43302</v>
      </c>
      <c r="C218" s="3" t="s">
        <v>30</v>
      </c>
      <c r="D218" s="3" t="s">
        <v>24</v>
      </c>
      <c r="E218" s="3">
        <v>3</v>
      </c>
      <c r="F218" s="3">
        <v>16</v>
      </c>
      <c r="G218" s="3">
        <v>48</v>
      </c>
      <c r="H218" s="3">
        <v>0.05</v>
      </c>
      <c r="I218" s="3">
        <v>2.4000000000000004</v>
      </c>
      <c r="J218" s="3" t="s">
        <v>32</v>
      </c>
    </row>
    <row r="219" spans="1:10" x14ac:dyDescent="0.35">
      <c r="A219" s="3" t="s">
        <v>249</v>
      </c>
      <c r="B219" s="4">
        <v>43302</v>
      </c>
      <c r="C219" s="3" t="s">
        <v>11</v>
      </c>
      <c r="D219" s="3" t="s">
        <v>27</v>
      </c>
      <c r="E219" s="3">
        <v>7</v>
      </c>
      <c r="F219" s="3">
        <v>80</v>
      </c>
      <c r="G219" s="3">
        <v>560</v>
      </c>
      <c r="H219" s="3">
        <v>0.02</v>
      </c>
      <c r="I219" s="3">
        <v>11.200000000000001</v>
      </c>
      <c r="J219" s="3" t="s">
        <v>35</v>
      </c>
    </row>
    <row r="220" spans="1:10" x14ac:dyDescent="0.35">
      <c r="A220" s="3" t="s">
        <v>250</v>
      </c>
      <c r="B220" s="4">
        <v>43302</v>
      </c>
      <c r="C220" s="3" t="s">
        <v>34</v>
      </c>
      <c r="D220" s="3" t="s">
        <v>27</v>
      </c>
      <c r="E220" s="3">
        <v>15</v>
      </c>
      <c r="F220" s="3">
        <v>150</v>
      </c>
      <c r="G220" s="3">
        <v>2250</v>
      </c>
      <c r="H220" s="3">
        <v>0.08</v>
      </c>
      <c r="I220" s="3">
        <v>180</v>
      </c>
      <c r="J220" s="3" t="s">
        <v>37</v>
      </c>
    </row>
    <row r="221" spans="1:10" x14ac:dyDescent="0.35">
      <c r="A221" s="3" t="s">
        <v>251</v>
      </c>
      <c r="B221" s="4">
        <v>43302</v>
      </c>
      <c r="C221" s="3" t="s">
        <v>11</v>
      </c>
      <c r="D221" s="3" t="s">
        <v>24</v>
      </c>
      <c r="E221" s="3">
        <v>10</v>
      </c>
      <c r="F221" s="3">
        <v>80</v>
      </c>
      <c r="G221" s="3">
        <v>800</v>
      </c>
      <c r="H221" s="3">
        <v>0.11</v>
      </c>
      <c r="I221" s="3">
        <v>88</v>
      </c>
      <c r="J221" s="3" t="s">
        <v>39</v>
      </c>
    </row>
    <row r="222" spans="1:10" x14ac:dyDescent="0.35">
      <c r="A222" s="3" t="s">
        <v>252</v>
      </c>
      <c r="B222" s="4">
        <v>43302</v>
      </c>
      <c r="C222" s="3" t="s">
        <v>19</v>
      </c>
      <c r="D222" s="3" t="s">
        <v>31</v>
      </c>
      <c r="E222" s="3">
        <v>13</v>
      </c>
      <c r="F222" s="3">
        <v>230</v>
      </c>
      <c r="G222" s="3">
        <v>2990</v>
      </c>
      <c r="H222" s="3">
        <v>0.06</v>
      </c>
      <c r="I222" s="3">
        <v>179.4</v>
      </c>
      <c r="J222" s="3" t="s">
        <v>41</v>
      </c>
    </row>
    <row r="223" spans="1:10" x14ac:dyDescent="0.35">
      <c r="A223" s="3" t="s">
        <v>253</v>
      </c>
      <c r="B223" s="4">
        <v>43302</v>
      </c>
      <c r="C223" s="3" t="s">
        <v>15</v>
      </c>
      <c r="D223" s="3" t="s">
        <v>12</v>
      </c>
      <c r="E223" s="3">
        <v>7</v>
      </c>
      <c r="F223" s="3">
        <v>40</v>
      </c>
      <c r="G223" s="3">
        <v>280</v>
      </c>
      <c r="H223" s="3">
        <v>0.1</v>
      </c>
      <c r="I223" s="3">
        <v>28</v>
      </c>
      <c r="J223" s="3" t="s">
        <v>43</v>
      </c>
    </row>
    <row r="224" spans="1:10" x14ac:dyDescent="0.35">
      <c r="A224" s="3" t="s">
        <v>254</v>
      </c>
      <c r="B224" s="4">
        <v>43302</v>
      </c>
      <c r="C224" s="3" t="s">
        <v>30</v>
      </c>
      <c r="D224" s="3" t="s">
        <v>24</v>
      </c>
      <c r="E224" s="3">
        <v>6</v>
      </c>
      <c r="F224" s="3">
        <v>16</v>
      </c>
      <c r="G224" s="3">
        <v>96</v>
      </c>
      <c r="H224" s="3">
        <v>0.01</v>
      </c>
      <c r="I224" s="3">
        <v>0.96</v>
      </c>
      <c r="J224" s="3" t="s">
        <v>13</v>
      </c>
    </row>
    <row r="225" spans="1:10" x14ac:dyDescent="0.35">
      <c r="A225" s="3" t="s">
        <v>255</v>
      </c>
      <c r="B225" s="4">
        <v>43303</v>
      </c>
      <c r="C225" s="3" t="s">
        <v>15</v>
      </c>
      <c r="D225" s="3" t="s">
        <v>24</v>
      </c>
      <c r="E225" s="3">
        <v>11</v>
      </c>
      <c r="F225" s="3">
        <v>40</v>
      </c>
      <c r="G225" s="3">
        <v>440</v>
      </c>
      <c r="H225" s="3">
        <v>0.05</v>
      </c>
      <c r="I225" s="3">
        <v>22</v>
      </c>
      <c r="J225" s="3" t="s">
        <v>17</v>
      </c>
    </row>
    <row r="226" spans="1:10" x14ac:dyDescent="0.35">
      <c r="A226" s="3" t="s">
        <v>256</v>
      </c>
      <c r="B226" s="4">
        <v>43303</v>
      </c>
      <c r="C226" s="3" t="s">
        <v>11</v>
      </c>
      <c r="D226" s="3" t="s">
        <v>27</v>
      </c>
      <c r="E226" s="3">
        <v>8</v>
      </c>
      <c r="F226" s="3">
        <v>80</v>
      </c>
      <c r="G226" s="3">
        <v>640</v>
      </c>
      <c r="H226" s="3">
        <v>0.06</v>
      </c>
      <c r="I226" s="3">
        <v>38.4</v>
      </c>
      <c r="J226" s="3" t="s">
        <v>20</v>
      </c>
    </row>
    <row r="227" spans="1:10" x14ac:dyDescent="0.35">
      <c r="A227" s="3" t="s">
        <v>257</v>
      </c>
      <c r="B227" s="4">
        <v>43303</v>
      </c>
      <c r="C227" s="3" t="s">
        <v>11</v>
      </c>
      <c r="D227" s="3" t="s">
        <v>12</v>
      </c>
      <c r="E227" s="3">
        <v>9</v>
      </c>
      <c r="F227" s="3">
        <v>80</v>
      </c>
      <c r="G227" s="3">
        <v>720</v>
      </c>
      <c r="H227" s="3">
        <v>0.04</v>
      </c>
      <c r="I227" s="3">
        <v>28.8</v>
      </c>
      <c r="J227" s="3" t="s">
        <v>22</v>
      </c>
    </row>
    <row r="228" spans="1:10" x14ac:dyDescent="0.35">
      <c r="A228" s="3" t="s">
        <v>258</v>
      </c>
      <c r="B228" s="4">
        <v>43303</v>
      </c>
      <c r="C228" s="3" t="s">
        <v>15</v>
      </c>
      <c r="D228" s="3" t="s">
        <v>31</v>
      </c>
      <c r="E228" s="3">
        <v>4</v>
      </c>
      <c r="F228" s="3">
        <v>40</v>
      </c>
      <c r="G228" s="3">
        <v>160</v>
      </c>
      <c r="H228" s="3">
        <v>0.09</v>
      </c>
      <c r="I228" s="3">
        <v>14.399999999999999</v>
      </c>
      <c r="J228" s="3" t="s">
        <v>25</v>
      </c>
    </row>
    <row r="229" spans="1:10" x14ac:dyDescent="0.35">
      <c r="A229" s="3" t="s">
        <v>259</v>
      </c>
      <c r="B229" s="4">
        <v>43303</v>
      </c>
      <c r="C229" s="3" t="s">
        <v>11</v>
      </c>
      <c r="D229" s="3" t="s">
        <v>16</v>
      </c>
      <c r="E229" s="3">
        <v>13</v>
      </c>
      <c r="F229" s="3">
        <v>80</v>
      </c>
      <c r="G229" s="3">
        <v>1040</v>
      </c>
      <c r="H229" s="3">
        <v>0.06</v>
      </c>
      <c r="I229" s="3">
        <v>62.4</v>
      </c>
      <c r="J229" s="3" t="s">
        <v>28</v>
      </c>
    </row>
    <row r="230" spans="1:10" x14ac:dyDescent="0.35">
      <c r="A230" s="3" t="s">
        <v>260</v>
      </c>
      <c r="B230" s="4">
        <v>43303</v>
      </c>
      <c r="C230" s="3" t="s">
        <v>34</v>
      </c>
      <c r="D230" s="3" t="s">
        <v>31</v>
      </c>
      <c r="E230" s="3">
        <v>4</v>
      </c>
      <c r="F230" s="3">
        <v>150</v>
      </c>
      <c r="G230" s="3">
        <v>600</v>
      </c>
      <c r="H230" s="3">
        <v>0.05</v>
      </c>
      <c r="I230" s="3">
        <v>30</v>
      </c>
      <c r="J230" s="3" t="s">
        <v>32</v>
      </c>
    </row>
    <row r="231" spans="1:10" x14ac:dyDescent="0.35">
      <c r="A231" s="3" t="s">
        <v>261</v>
      </c>
      <c r="B231" s="4">
        <v>43303</v>
      </c>
      <c r="C231" s="3" t="s">
        <v>19</v>
      </c>
      <c r="D231" s="3" t="s">
        <v>24</v>
      </c>
      <c r="E231" s="3">
        <v>14</v>
      </c>
      <c r="F231" s="3">
        <v>230</v>
      </c>
      <c r="G231" s="3">
        <v>3220</v>
      </c>
      <c r="H231" s="3">
        <v>0.12</v>
      </c>
      <c r="I231" s="3">
        <v>386.4</v>
      </c>
      <c r="J231" s="3" t="s">
        <v>35</v>
      </c>
    </row>
    <row r="232" spans="1:10" x14ac:dyDescent="0.35">
      <c r="A232" s="3" t="s">
        <v>262</v>
      </c>
      <c r="B232" s="4">
        <v>43303</v>
      </c>
      <c r="C232" s="3" t="s">
        <v>34</v>
      </c>
      <c r="D232" s="3" t="s">
        <v>31</v>
      </c>
      <c r="E232" s="3">
        <v>13</v>
      </c>
      <c r="F232" s="3">
        <v>150</v>
      </c>
      <c r="G232" s="3">
        <v>1950</v>
      </c>
      <c r="H232" s="3">
        <v>0.11</v>
      </c>
      <c r="I232" s="3">
        <v>214.5</v>
      </c>
      <c r="J232" s="3" t="s">
        <v>37</v>
      </c>
    </row>
    <row r="233" spans="1:10" x14ac:dyDescent="0.35">
      <c r="A233" s="3" t="s">
        <v>263</v>
      </c>
      <c r="B233" s="4">
        <v>43303</v>
      </c>
      <c r="C233" s="3" t="s">
        <v>34</v>
      </c>
      <c r="D233" s="3" t="s">
        <v>16</v>
      </c>
      <c r="E233" s="3">
        <v>16</v>
      </c>
      <c r="F233" s="3">
        <v>150</v>
      </c>
      <c r="G233" s="3">
        <v>2400</v>
      </c>
      <c r="H233" s="3">
        <v>0.03</v>
      </c>
      <c r="I233" s="3">
        <v>72</v>
      </c>
      <c r="J233" s="3" t="s">
        <v>39</v>
      </c>
    </row>
    <row r="234" spans="1:10" x14ac:dyDescent="0.35">
      <c r="A234" s="3" t="s">
        <v>264</v>
      </c>
      <c r="B234" s="4">
        <v>43303</v>
      </c>
      <c r="C234" s="3" t="s">
        <v>30</v>
      </c>
      <c r="D234" s="3" t="s">
        <v>12</v>
      </c>
      <c r="E234" s="3">
        <v>7</v>
      </c>
      <c r="F234" s="3">
        <v>16</v>
      </c>
      <c r="G234" s="3">
        <v>112</v>
      </c>
      <c r="H234" s="3">
        <v>0.12</v>
      </c>
      <c r="I234" s="3">
        <v>13.44</v>
      </c>
      <c r="J234" s="3" t="s">
        <v>41</v>
      </c>
    </row>
    <row r="235" spans="1:10" x14ac:dyDescent="0.35">
      <c r="A235" s="3" t="s">
        <v>265</v>
      </c>
      <c r="B235" s="4">
        <v>43303</v>
      </c>
      <c r="C235" s="3" t="s">
        <v>34</v>
      </c>
      <c r="D235" s="3" t="s">
        <v>27</v>
      </c>
      <c r="E235" s="3">
        <v>9</v>
      </c>
      <c r="F235" s="3">
        <v>150</v>
      </c>
      <c r="G235" s="3">
        <v>1350</v>
      </c>
      <c r="H235" s="3">
        <v>0.02</v>
      </c>
      <c r="I235" s="3">
        <v>27</v>
      </c>
      <c r="J235" s="3" t="s">
        <v>43</v>
      </c>
    </row>
    <row r="236" spans="1:10" x14ac:dyDescent="0.35">
      <c r="A236" s="3" t="s">
        <v>266</v>
      </c>
      <c r="B236" s="4">
        <v>43303</v>
      </c>
      <c r="C236" s="3" t="s">
        <v>30</v>
      </c>
      <c r="D236" s="3" t="s">
        <v>12</v>
      </c>
      <c r="E236" s="3">
        <v>10</v>
      </c>
      <c r="F236" s="3">
        <v>16</v>
      </c>
      <c r="G236" s="3">
        <v>160</v>
      </c>
      <c r="H236" s="3">
        <v>0.08</v>
      </c>
      <c r="I236" s="3">
        <v>12.8</v>
      </c>
      <c r="J236" s="3" t="s">
        <v>13</v>
      </c>
    </row>
    <row r="237" spans="1:10" x14ac:dyDescent="0.35">
      <c r="A237" s="3" t="s">
        <v>267</v>
      </c>
      <c r="B237" s="4">
        <v>43303</v>
      </c>
      <c r="C237" s="3" t="s">
        <v>11</v>
      </c>
      <c r="D237" s="3" t="s">
        <v>27</v>
      </c>
      <c r="E237" s="3">
        <v>15</v>
      </c>
      <c r="F237" s="3">
        <v>80</v>
      </c>
      <c r="G237" s="3">
        <v>1200</v>
      </c>
      <c r="H237" s="3">
        <v>0.08</v>
      </c>
      <c r="I237" s="3">
        <v>96</v>
      </c>
      <c r="J237" s="3" t="s">
        <v>17</v>
      </c>
    </row>
    <row r="238" spans="1:10" x14ac:dyDescent="0.35">
      <c r="A238" s="3" t="s">
        <v>268</v>
      </c>
      <c r="B238" s="4">
        <v>43303</v>
      </c>
      <c r="C238" s="3" t="s">
        <v>11</v>
      </c>
      <c r="D238" s="3" t="s">
        <v>31</v>
      </c>
      <c r="E238" s="3">
        <v>9</v>
      </c>
      <c r="F238" s="3">
        <v>80</v>
      </c>
      <c r="G238" s="3">
        <v>720</v>
      </c>
      <c r="H238" s="3">
        <v>0.06</v>
      </c>
      <c r="I238" s="3">
        <v>43.199999999999996</v>
      </c>
      <c r="J238" s="3" t="s">
        <v>20</v>
      </c>
    </row>
    <row r="239" spans="1:10" x14ac:dyDescent="0.35">
      <c r="A239" s="3" t="s">
        <v>269</v>
      </c>
      <c r="B239" s="4">
        <v>43304</v>
      </c>
      <c r="C239" s="3" t="s">
        <v>30</v>
      </c>
      <c r="D239" s="3" t="s">
        <v>27</v>
      </c>
      <c r="E239" s="3">
        <v>7</v>
      </c>
      <c r="F239" s="3">
        <v>16</v>
      </c>
      <c r="G239" s="3">
        <v>112</v>
      </c>
      <c r="H239" s="3">
        <v>0.08</v>
      </c>
      <c r="I239" s="3">
        <v>8.9600000000000009</v>
      </c>
      <c r="J239" s="3" t="s">
        <v>22</v>
      </c>
    </row>
    <row r="240" spans="1:10" x14ac:dyDescent="0.35">
      <c r="A240" s="3" t="s">
        <v>270</v>
      </c>
      <c r="B240" s="4">
        <v>43304</v>
      </c>
      <c r="C240" s="3" t="s">
        <v>34</v>
      </c>
      <c r="D240" s="3" t="s">
        <v>31</v>
      </c>
      <c r="E240" s="3">
        <v>7</v>
      </c>
      <c r="F240" s="3">
        <v>150</v>
      </c>
      <c r="G240" s="3">
        <v>1050</v>
      </c>
      <c r="H240" s="3">
        <v>0.03</v>
      </c>
      <c r="I240" s="3">
        <v>31.5</v>
      </c>
      <c r="J240" s="3" t="s">
        <v>25</v>
      </c>
    </row>
    <row r="241" spans="1:10" x14ac:dyDescent="0.35">
      <c r="A241" s="3" t="s">
        <v>271</v>
      </c>
      <c r="B241" s="4">
        <v>43304</v>
      </c>
      <c r="C241" s="3" t="s">
        <v>19</v>
      </c>
      <c r="D241" s="3" t="s">
        <v>27</v>
      </c>
      <c r="E241" s="3">
        <v>16</v>
      </c>
      <c r="F241" s="3">
        <v>230</v>
      </c>
      <c r="G241" s="3">
        <v>3680</v>
      </c>
      <c r="H241" s="3">
        <v>0.11</v>
      </c>
      <c r="I241" s="3">
        <v>404.8</v>
      </c>
      <c r="J241" s="3" t="s">
        <v>28</v>
      </c>
    </row>
    <row r="242" spans="1:10" x14ac:dyDescent="0.35">
      <c r="A242" s="3" t="s">
        <v>272</v>
      </c>
      <c r="B242" s="4">
        <v>43304</v>
      </c>
      <c r="C242" s="3" t="s">
        <v>30</v>
      </c>
      <c r="D242" s="3" t="s">
        <v>27</v>
      </c>
      <c r="E242" s="3">
        <v>18</v>
      </c>
      <c r="F242" s="3">
        <v>16</v>
      </c>
      <c r="G242" s="3">
        <v>288</v>
      </c>
      <c r="H242" s="3">
        <v>0.04</v>
      </c>
      <c r="I242" s="3">
        <v>11.52</v>
      </c>
      <c r="J242" s="3" t="s">
        <v>32</v>
      </c>
    </row>
    <row r="243" spans="1:10" x14ac:dyDescent="0.35">
      <c r="A243" s="3" t="s">
        <v>273</v>
      </c>
      <c r="B243" s="4">
        <v>43304</v>
      </c>
      <c r="C243" s="3" t="s">
        <v>19</v>
      </c>
      <c r="D243" s="3" t="s">
        <v>31</v>
      </c>
      <c r="E243" s="3">
        <v>20</v>
      </c>
      <c r="F243" s="3">
        <v>230</v>
      </c>
      <c r="G243" s="3">
        <v>4600</v>
      </c>
      <c r="H243" s="3">
        <v>0.11</v>
      </c>
      <c r="I243" s="3">
        <v>506</v>
      </c>
      <c r="J243" s="3" t="s">
        <v>35</v>
      </c>
    </row>
    <row r="244" spans="1:10" x14ac:dyDescent="0.35">
      <c r="A244" s="3" t="s">
        <v>274</v>
      </c>
      <c r="B244" s="4">
        <v>43304</v>
      </c>
      <c r="C244" s="3" t="s">
        <v>34</v>
      </c>
      <c r="D244" s="3" t="s">
        <v>12</v>
      </c>
      <c r="E244" s="3">
        <v>7</v>
      </c>
      <c r="F244" s="3">
        <v>150</v>
      </c>
      <c r="G244" s="3">
        <v>1050</v>
      </c>
      <c r="H244" s="3">
        <v>0.02</v>
      </c>
      <c r="I244" s="3">
        <v>21</v>
      </c>
      <c r="J244" s="3" t="s">
        <v>37</v>
      </c>
    </row>
    <row r="245" spans="1:10" x14ac:dyDescent="0.35">
      <c r="A245" s="3" t="s">
        <v>275</v>
      </c>
      <c r="B245" s="4">
        <v>43304</v>
      </c>
      <c r="C245" s="3" t="s">
        <v>30</v>
      </c>
      <c r="D245" s="3" t="s">
        <v>24</v>
      </c>
      <c r="E245" s="3">
        <v>11</v>
      </c>
      <c r="F245" s="3">
        <v>16</v>
      </c>
      <c r="G245" s="3">
        <v>176</v>
      </c>
      <c r="H245" s="3">
        <v>0.12</v>
      </c>
      <c r="I245" s="3">
        <v>21.119999999999997</v>
      </c>
      <c r="J245" s="3" t="s">
        <v>39</v>
      </c>
    </row>
    <row r="246" spans="1:10" x14ac:dyDescent="0.35">
      <c r="A246" s="3" t="s">
        <v>276</v>
      </c>
      <c r="B246" s="4">
        <v>43304</v>
      </c>
      <c r="C246" s="3" t="s">
        <v>15</v>
      </c>
      <c r="D246" s="3" t="s">
        <v>24</v>
      </c>
      <c r="E246" s="3">
        <v>12</v>
      </c>
      <c r="F246" s="3">
        <v>40</v>
      </c>
      <c r="G246" s="3">
        <v>480</v>
      </c>
      <c r="H246" s="3">
        <v>0.02</v>
      </c>
      <c r="I246" s="3">
        <v>9.6</v>
      </c>
      <c r="J246" s="3" t="s">
        <v>41</v>
      </c>
    </row>
    <row r="247" spans="1:10" x14ac:dyDescent="0.35">
      <c r="A247" s="3" t="s">
        <v>277</v>
      </c>
      <c r="B247" s="4">
        <v>43304</v>
      </c>
      <c r="C247" s="3" t="s">
        <v>34</v>
      </c>
      <c r="D247" s="3" t="s">
        <v>31</v>
      </c>
      <c r="E247" s="3">
        <v>7</v>
      </c>
      <c r="F247" s="3">
        <v>150</v>
      </c>
      <c r="G247" s="3">
        <v>1050</v>
      </c>
      <c r="H247" s="3">
        <v>0.02</v>
      </c>
      <c r="I247" s="3">
        <v>21</v>
      </c>
      <c r="J247" s="3" t="s">
        <v>43</v>
      </c>
    </row>
    <row r="248" spans="1:10" x14ac:dyDescent="0.35">
      <c r="A248" s="3" t="s">
        <v>278</v>
      </c>
      <c r="B248" s="4">
        <v>43304</v>
      </c>
      <c r="C248" s="3" t="s">
        <v>11</v>
      </c>
      <c r="D248" s="3" t="s">
        <v>24</v>
      </c>
      <c r="E248" s="3">
        <v>14</v>
      </c>
      <c r="F248" s="3">
        <v>80</v>
      </c>
      <c r="G248" s="3">
        <v>1120</v>
      </c>
      <c r="H248" s="3">
        <v>0.1</v>
      </c>
      <c r="I248" s="3">
        <v>112</v>
      </c>
      <c r="J248" s="3" t="s">
        <v>13</v>
      </c>
    </row>
    <row r="249" spans="1:10" x14ac:dyDescent="0.35">
      <c r="A249" s="3" t="s">
        <v>279</v>
      </c>
      <c r="B249" s="4">
        <v>43304</v>
      </c>
      <c r="C249" s="3" t="s">
        <v>19</v>
      </c>
      <c r="D249" s="3" t="s">
        <v>24</v>
      </c>
      <c r="E249" s="3">
        <v>12</v>
      </c>
      <c r="F249" s="3">
        <v>230</v>
      </c>
      <c r="G249" s="3">
        <v>2760</v>
      </c>
      <c r="H249" s="3">
        <v>0.06</v>
      </c>
      <c r="I249" s="3">
        <v>165.6</v>
      </c>
      <c r="J249" s="3" t="s">
        <v>17</v>
      </c>
    </row>
    <row r="250" spans="1:10" x14ac:dyDescent="0.35">
      <c r="A250" s="3" t="s">
        <v>280</v>
      </c>
      <c r="B250" s="4">
        <v>43305</v>
      </c>
      <c r="C250" s="3" t="s">
        <v>11</v>
      </c>
      <c r="D250" s="3" t="s">
        <v>16</v>
      </c>
      <c r="E250" s="3">
        <v>21</v>
      </c>
      <c r="F250" s="3">
        <v>80</v>
      </c>
      <c r="G250" s="3">
        <v>1680</v>
      </c>
      <c r="H250" s="3">
        <v>0.04</v>
      </c>
      <c r="I250" s="3">
        <v>67.2</v>
      </c>
      <c r="J250" s="3" t="s">
        <v>20</v>
      </c>
    </row>
    <row r="251" spans="1:10" x14ac:dyDescent="0.35">
      <c r="A251" s="3" t="s">
        <v>281</v>
      </c>
      <c r="B251" s="4">
        <v>43305</v>
      </c>
      <c r="C251" s="3" t="s">
        <v>34</v>
      </c>
      <c r="D251" s="3" t="s">
        <v>12</v>
      </c>
      <c r="E251" s="3">
        <v>8</v>
      </c>
      <c r="F251" s="3">
        <v>150</v>
      </c>
      <c r="G251" s="3">
        <v>1200</v>
      </c>
      <c r="H251" s="3">
        <v>0.09</v>
      </c>
      <c r="I251" s="3">
        <v>108</v>
      </c>
      <c r="J251" s="3" t="s">
        <v>22</v>
      </c>
    </row>
    <row r="252" spans="1:10" x14ac:dyDescent="0.35">
      <c r="A252" s="3" t="s">
        <v>282</v>
      </c>
      <c r="B252" s="4">
        <v>43305</v>
      </c>
      <c r="C252" s="3" t="s">
        <v>11</v>
      </c>
      <c r="D252" s="3" t="s">
        <v>16</v>
      </c>
      <c r="E252" s="3">
        <v>16</v>
      </c>
      <c r="F252" s="3">
        <v>80</v>
      </c>
      <c r="G252" s="3">
        <v>1280</v>
      </c>
      <c r="H252" s="3">
        <v>0.04</v>
      </c>
      <c r="I252" s="3">
        <v>51.2</v>
      </c>
      <c r="J252" s="3" t="s">
        <v>25</v>
      </c>
    </row>
    <row r="253" spans="1:10" x14ac:dyDescent="0.35">
      <c r="A253" s="3" t="s">
        <v>283</v>
      </c>
      <c r="B253" s="4">
        <v>43305</v>
      </c>
      <c r="C253" s="3" t="s">
        <v>19</v>
      </c>
      <c r="D253" s="3" t="s">
        <v>16</v>
      </c>
      <c r="E253" s="3">
        <v>14</v>
      </c>
      <c r="F253" s="3">
        <v>230</v>
      </c>
      <c r="G253" s="3">
        <v>3220</v>
      </c>
      <c r="H253" s="3">
        <v>0.05</v>
      </c>
      <c r="I253" s="3">
        <v>161</v>
      </c>
      <c r="J253" s="3" t="s">
        <v>28</v>
      </c>
    </row>
    <row r="254" spans="1:10" x14ac:dyDescent="0.35">
      <c r="A254" s="3" t="s">
        <v>284</v>
      </c>
      <c r="B254" s="4">
        <v>43305</v>
      </c>
      <c r="C254" s="3" t="s">
        <v>15</v>
      </c>
      <c r="D254" s="3" t="s">
        <v>24</v>
      </c>
      <c r="E254" s="3">
        <v>2</v>
      </c>
      <c r="F254" s="3">
        <v>40</v>
      </c>
      <c r="G254" s="3">
        <v>80</v>
      </c>
      <c r="H254" s="3">
        <v>0.03</v>
      </c>
      <c r="I254" s="3">
        <v>2.4</v>
      </c>
      <c r="J254" s="3" t="s">
        <v>32</v>
      </c>
    </row>
    <row r="255" spans="1:10" x14ac:dyDescent="0.35">
      <c r="A255" s="3" t="s">
        <v>285</v>
      </c>
      <c r="B255" s="4">
        <v>43305</v>
      </c>
      <c r="C255" s="3" t="s">
        <v>34</v>
      </c>
      <c r="D255" s="3" t="s">
        <v>12</v>
      </c>
      <c r="E255" s="3">
        <v>4</v>
      </c>
      <c r="F255" s="3">
        <v>150</v>
      </c>
      <c r="G255" s="3">
        <v>600</v>
      </c>
      <c r="H255" s="3">
        <v>0.1</v>
      </c>
      <c r="I255" s="3">
        <v>60</v>
      </c>
      <c r="J255" s="3" t="s">
        <v>35</v>
      </c>
    </row>
    <row r="256" spans="1:10" x14ac:dyDescent="0.35">
      <c r="A256" s="3" t="s">
        <v>286</v>
      </c>
      <c r="B256" s="4">
        <v>43305</v>
      </c>
      <c r="C256" s="3" t="s">
        <v>11</v>
      </c>
      <c r="D256" s="3" t="s">
        <v>24</v>
      </c>
      <c r="E256" s="3">
        <v>6</v>
      </c>
      <c r="F256" s="3">
        <v>80</v>
      </c>
      <c r="G256" s="3">
        <v>480</v>
      </c>
      <c r="H256" s="3">
        <v>0.01</v>
      </c>
      <c r="I256" s="3">
        <v>4.8</v>
      </c>
      <c r="J256" s="3" t="s">
        <v>37</v>
      </c>
    </row>
    <row r="257" spans="1:10" x14ac:dyDescent="0.35">
      <c r="A257" s="3" t="s">
        <v>287</v>
      </c>
      <c r="B257" s="4">
        <v>43305</v>
      </c>
      <c r="C257" s="3" t="s">
        <v>15</v>
      </c>
      <c r="D257" s="3" t="s">
        <v>24</v>
      </c>
      <c r="E257" s="3">
        <v>6</v>
      </c>
      <c r="F257" s="3">
        <v>40</v>
      </c>
      <c r="G257" s="3">
        <v>240</v>
      </c>
      <c r="H257" s="3">
        <v>0.06</v>
      </c>
      <c r="I257" s="3">
        <v>14.399999999999999</v>
      </c>
      <c r="J257" s="3" t="s">
        <v>39</v>
      </c>
    </row>
    <row r="258" spans="1:10" x14ac:dyDescent="0.35">
      <c r="A258" s="3" t="s">
        <v>288</v>
      </c>
      <c r="B258" s="4">
        <v>43305</v>
      </c>
      <c r="C258" s="3" t="s">
        <v>34</v>
      </c>
      <c r="D258" s="3" t="s">
        <v>12</v>
      </c>
      <c r="E258" s="3">
        <v>20</v>
      </c>
      <c r="F258" s="3">
        <v>150</v>
      </c>
      <c r="G258" s="3">
        <v>3000</v>
      </c>
      <c r="H258" s="3">
        <v>0.04</v>
      </c>
      <c r="I258" s="3">
        <v>120</v>
      </c>
      <c r="J258" s="3" t="s">
        <v>41</v>
      </c>
    </row>
    <row r="259" spans="1:10" x14ac:dyDescent="0.35">
      <c r="A259" s="3" t="s">
        <v>289</v>
      </c>
      <c r="B259" s="4">
        <v>43305</v>
      </c>
      <c r="C259" s="3" t="s">
        <v>15</v>
      </c>
      <c r="D259" s="3" t="s">
        <v>24</v>
      </c>
      <c r="E259" s="3">
        <v>18</v>
      </c>
      <c r="F259" s="3">
        <v>40</v>
      </c>
      <c r="G259" s="3">
        <v>720</v>
      </c>
      <c r="H259" s="3">
        <v>0.03</v>
      </c>
      <c r="I259" s="3">
        <v>21.599999999999998</v>
      </c>
      <c r="J259" s="3" t="s">
        <v>43</v>
      </c>
    </row>
    <row r="260" spans="1:10" x14ac:dyDescent="0.35">
      <c r="A260" s="3" t="s">
        <v>290</v>
      </c>
      <c r="B260" s="4">
        <v>43305</v>
      </c>
      <c r="C260" s="3" t="s">
        <v>19</v>
      </c>
      <c r="D260" s="3" t="s">
        <v>27</v>
      </c>
      <c r="E260" s="3">
        <v>18</v>
      </c>
      <c r="F260" s="3">
        <v>230</v>
      </c>
      <c r="G260" s="3">
        <v>4140</v>
      </c>
      <c r="H260" s="3">
        <v>0.01</v>
      </c>
      <c r="I260" s="3">
        <v>41.4</v>
      </c>
      <c r="J260" s="3" t="s">
        <v>13</v>
      </c>
    </row>
    <row r="261" spans="1:10" x14ac:dyDescent="0.35">
      <c r="A261" s="3" t="s">
        <v>291</v>
      </c>
      <c r="B261" s="4">
        <v>43305</v>
      </c>
      <c r="C261" s="3" t="s">
        <v>19</v>
      </c>
      <c r="D261" s="3" t="s">
        <v>24</v>
      </c>
      <c r="E261" s="3">
        <v>15</v>
      </c>
      <c r="F261" s="3">
        <v>230</v>
      </c>
      <c r="G261" s="3">
        <v>3450</v>
      </c>
      <c r="H261" s="3">
        <v>0.04</v>
      </c>
      <c r="I261" s="3">
        <v>138</v>
      </c>
      <c r="J261" s="3" t="s">
        <v>17</v>
      </c>
    </row>
    <row r="262" spans="1:10" x14ac:dyDescent="0.35">
      <c r="A262" s="3" t="s">
        <v>292</v>
      </c>
      <c r="B262" s="4">
        <v>43305</v>
      </c>
      <c r="C262" s="3" t="s">
        <v>30</v>
      </c>
      <c r="D262" s="3" t="s">
        <v>16</v>
      </c>
      <c r="E262" s="3">
        <v>22</v>
      </c>
      <c r="F262" s="3">
        <v>16</v>
      </c>
      <c r="G262" s="3">
        <v>352</v>
      </c>
      <c r="H262" s="3">
        <v>0.01</v>
      </c>
      <c r="I262" s="3">
        <v>3.52</v>
      </c>
      <c r="J262" s="3" t="s">
        <v>20</v>
      </c>
    </row>
    <row r="263" spans="1:10" x14ac:dyDescent="0.35">
      <c r="A263" s="3" t="s">
        <v>293</v>
      </c>
      <c r="B263" s="4">
        <v>43305</v>
      </c>
      <c r="C263" s="3" t="s">
        <v>34</v>
      </c>
      <c r="D263" s="3" t="s">
        <v>12</v>
      </c>
      <c r="E263" s="3">
        <v>17</v>
      </c>
      <c r="F263" s="3">
        <v>150</v>
      </c>
      <c r="G263" s="3">
        <v>2550</v>
      </c>
      <c r="H263" s="3">
        <v>0.12</v>
      </c>
      <c r="I263" s="3">
        <v>306</v>
      </c>
      <c r="J263" s="3" t="s">
        <v>22</v>
      </c>
    </row>
    <row r="264" spans="1:10" x14ac:dyDescent="0.35">
      <c r="A264" s="3" t="s">
        <v>294</v>
      </c>
      <c r="B264" s="4">
        <v>43306</v>
      </c>
      <c r="C264" s="3" t="s">
        <v>30</v>
      </c>
      <c r="D264" s="3" t="s">
        <v>16</v>
      </c>
      <c r="E264" s="3">
        <v>5</v>
      </c>
      <c r="F264" s="3">
        <v>16</v>
      </c>
      <c r="G264" s="3">
        <v>80</v>
      </c>
      <c r="H264" s="3">
        <v>0.11</v>
      </c>
      <c r="I264" s="3">
        <v>8.8000000000000007</v>
      </c>
      <c r="J264" s="3" t="s">
        <v>25</v>
      </c>
    </row>
    <row r="265" spans="1:10" x14ac:dyDescent="0.35">
      <c r="A265" s="3" t="s">
        <v>295</v>
      </c>
      <c r="B265" s="4">
        <v>43306</v>
      </c>
      <c r="C265" s="3" t="s">
        <v>34</v>
      </c>
      <c r="D265" s="3" t="s">
        <v>12</v>
      </c>
      <c r="E265" s="3">
        <v>23</v>
      </c>
      <c r="F265" s="3">
        <v>150</v>
      </c>
      <c r="G265" s="3">
        <v>3450</v>
      </c>
      <c r="H265" s="3">
        <v>0.1</v>
      </c>
      <c r="I265" s="3">
        <v>345</v>
      </c>
      <c r="J265" s="3" t="s">
        <v>28</v>
      </c>
    </row>
    <row r="266" spans="1:10" x14ac:dyDescent="0.35">
      <c r="A266" s="3" t="s">
        <v>296</v>
      </c>
      <c r="B266" s="4">
        <v>43306</v>
      </c>
      <c r="C266" s="3" t="s">
        <v>34</v>
      </c>
      <c r="D266" s="3" t="s">
        <v>27</v>
      </c>
      <c r="E266" s="3">
        <v>22</v>
      </c>
      <c r="F266" s="3">
        <v>150</v>
      </c>
      <c r="G266" s="3">
        <v>3300</v>
      </c>
      <c r="H266" s="3">
        <v>0.05</v>
      </c>
      <c r="I266" s="3">
        <v>165</v>
      </c>
      <c r="J266" s="3" t="s">
        <v>32</v>
      </c>
    </row>
    <row r="267" spans="1:10" x14ac:dyDescent="0.35">
      <c r="A267" s="3" t="s">
        <v>297</v>
      </c>
      <c r="B267" s="4">
        <v>43306</v>
      </c>
      <c r="C267" s="3" t="s">
        <v>30</v>
      </c>
      <c r="D267" s="3" t="s">
        <v>31</v>
      </c>
      <c r="E267" s="3">
        <v>15</v>
      </c>
      <c r="F267" s="3">
        <v>16</v>
      </c>
      <c r="G267" s="3">
        <v>240</v>
      </c>
      <c r="H267" s="3">
        <v>0.01</v>
      </c>
      <c r="I267" s="3">
        <v>2.4</v>
      </c>
      <c r="J267" s="3" t="s">
        <v>35</v>
      </c>
    </row>
    <row r="268" spans="1:10" x14ac:dyDescent="0.35">
      <c r="A268" s="3" t="s">
        <v>298</v>
      </c>
      <c r="B268" s="4">
        <v>43306</v>
      </c>
      <c r="C268" s="3" t="s">
        <v>15</v>
      </c>
      <c r="D268" s="3" t="s">
        <v>27</v>
      </c>
      <c r="E268" s="3">
        <v>7</v>
      </c>
      <c r="F268" s="3">
        <v>40</v>
      </c>
      <c r="G268" s="3">
        <v>280</v>
      </c>
      <c r="H268" s="3">
        <v>7.0000000000000007E-2</v>
      </c>
      <c r="I268" s="3">
        <v>19.600000000000001</v>
      </c>
      <c r="J268" s="3" t="s">
        <v>37</v>
      </c>
    </row>
    <row r="269" spans="1:10" x14ac:dyDescent="0.35">
      <c r="A269" s="3" t="s">
        <v>299</v>
      </c>
      <c r="B269" s="4">
        <v>43306</v>
      </c>
      <c r="C269" s="3" t="s">
        <v>11</v>
      </c>
      <c r="D269" s="3" t="s">
        <v>31</v>
      </c>
      <c r="E269" s="3">
        <v>22</v>
      </c>
      <c r="F269" s="3">
        <v>80</v>
      </c>
      <c r="G269" s="3">
        <v>1760</v>
      </c>
      <c r="H269" s="3">
        <v>0.11</v>
      </c>
      <c r="I269" s="3">
        <v>193.6</v>
      </c>
      <c r="J269" s="3" t="s">
        <v>39</v>
      </c>
    </row>
    <row r="270" spans="1:10" x14ac:dyDescent="0.35">
      <c r="A270" s="3" t="s">
        <v>300</v>
      </c>
      <c r="B270" s="4">
        <v>43306</v>
      </c>
      <c r="C270" s="3" t="s">
        <v>34</v>
      </c>
      <c r="D270" s="3" t="s">
        <v>24</v>
      </c>
      <c r="E270" s="3">
        <v>11</v>
      </c>
      <c r="F270" s="3">
        <v>150</v>
      </c>
      <c r="G270" s="3">
        <v>1650</v>
      </c>
      <c r="H270" s="3">
        <v>0.05</v>
      </c>
      <c r="I270" s="3">
        <v>82.5</v>
      </c>
      <c r="J270" s="3" t="s">
        <v>41</v>
      </c>
    </row>
    <row r="271" spans="1:10" x14ac:dyDescent="0.35">
      <c r="A271" s="3" t="s">
        <v>301</v>
      </c>
      <c r="B271" s="4">
        <v>43306</v>
      </c>
      <c r="C271" s="3" t="s">
        <v>15</v>
      </c>
      <c r="D271" s="3" t="s">
        <v>16</v>
      </c>
      <c r="E271" s="3">
        <v>21</v>
      </c>
      <c r="F271" s="3">
        <v>40</v>
      </c>
      <c r="G271" s="3">
        <v>840</v>
      </c>
      <c r="H271" s="3">
        <v>0.03</v>
      </c>
      <c r="I271" s="3">
        <v>25.2</v>
      </c>
      <c r="J271" s="3" t="s">
        <v>43</v>
      </c>
    </row>
    <row r="272" spans="1:10" x14ac:dyDescent="0.35">
      <c r="A272" s="3" t="s">
        <v>302</v>
      </c>
      <c r="B272" s="4">
        <v>43306</v>
      </c>
      <c r="C272" s="3" t="s">
        <v>11</v>
      </c>
      <c r="D272" s="3" t="s">
        <v>27</v>
      </c>
      <c r="E272" s="3">
        <v>23</v>
      </c>
      <c r="F272" s="3">
        <v>80</v>
      </c>
      <c r="G272" s="3">
        <v>1840</v>
      </c>
      <c r="H272" s="3">
        <v>0.11</v>
      </c>
      <c r="I272" s="3">
        <v>202.4</v>
      </c>
      <c r="J272" s="3" t="s">
        <v>13</v>
      </c>
    </row>
    <row r="273" spans="1:10" x14ac:dyDescent="0.35">
      <c r="A273" s="3" t="s">
        <v>303</v>
      </c>
      <c r="B273" s="4">
        <v>43306</v>
      </c>
      <c r="C273" s="3" t="s">
        <v>19</v>
      </c>
      <c r="D273" s="3" t="s">
        <v>24</v>
      </c>
      <c r="E273" s="3">
        <v>7</v>
      </c>
      <c r="F273" s="3">
        <v>230</v>
      </c>
      <c r="G273" s="3">
        <v>1610</v>
      </c>
      <c r="H273" s="3">
        <v>0.01</v>
      </c>
      <c r="I273" s="3">
        <v>16.100000000000001</v>
      </c>
      <c r="J273" s="3" t="s">
        <v>17</v>
      </c>
    </row>
    <row r="274" spans="1:10" x14ac:dyDescent="0.35">
      <c r="A274" s="3" t="s">
        <v>304</v>
      </c>
      <c r="B274" s="4">
        <v>43306</v>
      </c>
      <c r="C274" s="3" t="s">
        <v>19</v>
      </c>
      <c r="D274" s="3" t="s">
        <v>12</v>
      </c>
      <c r="E274" s="3">
        <v>16</v>
      </c>
      <c r="F274" s="3">
        <v>230</v>
      </c>
      <c r="G274" s="3">
        <v>3680</v>
      </c>
      <c r="H274" s="3">
        <v>7.0000000000000007E-2</v>
      </c>
      <c r="I274" s="3">
        <v>257.60000000000002</v>
      </c>
      <c r="J274" s="3" t="s">
        <v>20</v>
      </c>
    </row>
    <row r="275" spans="1:10" x14ac:dyDescent="0.35">
      <c r="A275" s="3" t="s">
        <v>305</v>
      </c>
      <c r="B275" s="4">
        <v>43306</v>
      </c>
      <c r="C275" s="3" t="s">
        <v>11</v>
      </c>
      <c r="D275" s="3" t="s">
        <v>16</v>
      </c>
      <c r="E275" s="3">
        <v>14</v>
      </c>
      <c r="F275" s="3">
        <v>80</v>
      </c>
      <c r="G275" s="3">
        <v>1120</v>
      </c>
      <c r="H275" s="3">
        <v>0.11</v>
      </c>
      <c r="I275" s="3">
        <v>123.2</v>
      </c>
      <c r="J275" s="3" t="s">
        <v>22</v>
      </c>
    </row>
    <row r="276" spans="1:10" x14ac:dyDescent="0.35">
      <c r="A276" s="3" t="s">
        <v>306</v>
      </c>
      <c r="B276" s="4">
        <v>43306</v>
      </c>
      <c r="C276" s="3" t="s">
        <v>34</v>
      </c>
      <c r="D276" s="3" t="s">
        <v>24</v>
      </c>
      <c r="E276" s="3">
        <v>22</v>
      </c>
      <c r="F276" s="3">
        <v>150</v>
      </c>
      <c r="G276" s="3">
        <v>3300</v>
      </c>
      <c r="H276" s="3">
        <v>0.09</v>
      </c>
      <c r="I276" s="3">
        <v>297</v>
      </c>
      <c r="J276" s="3" t="s">
        <v>25</v>
      </c>
    </row>
    <row r="277" spans="1:10" x14ac:dyDescent="0.35">
      <c r="A277" s="3" t="s">
        <v>307</v>
      </c>
      <c r="B277" s="4">
        <v>43306</v>
      </c>
      <c r="C277" s="3" t="s">
        <v>34</v>
      </c>
      <c r="D277" s="3" t="s">
        <v>27</v>
      </c>
      <c r="E277" s="3">
        <v>4</v>
      </c>
      <c r="F277" s="3">
        <v>150</v>
      </c>
      <c r="G277" s="3">
        <v>600</v>
      </c>
      <c r="H277" s="3">
        <v>0.12</v>
      </c>
      <c r="I277" s="3">
        <v>72</v>
      </c>
      <c r="J277" s="3" t="s">
        <v>28</v>
      </c>
    </row>
    <row r="278" spans="1:10" x14ac:dyDescent="0.35">
      <c r="A278" s="3" t="s">
        <v>308</v>
      </c>
      <c r="B278" s="4">
        <v>43306</v>
      </c>
      <c r="C278" s="3" t="s">
        <v>34</v>
      </c>
      <c r="D278" s="3" t="s">
        <v>12</v>
      </c>
      <c r="E278" s="3">
        <v>3</v>
      </c>
      <c r="F278" s="3">
        <v>150</v>
      </c>
      <c r="G278" s="3">
        <v>450</v>
      </c>
      <c r="H278" s="3">
        <v>0.03</v>
      </c>
      <c r="I278" s="3">
        <v>13.5</v>
      </c>
      <c r="J278" s="3" t="s">
        <v>32</v>
      </c>
    </row>
    <row r="279" spans="1:10" x14ac:dyDescent="0.35">
      <c r="A279" s="3" t="s">
        <v>309</v>
      </c>
      <c r="B279" s="4">
        <v>43306</v>
      </c>
      <c r="C279" s="3" t="s">
        <v>15</v>
      </c>
      <c r="D279" s="3" t="s">
        <v>31</v>
      </c>
      <c r="E279" s="3">
        <v>17</v>
      </c>
      <c r="F279" s="3">
        <v>40</v>
      </c>
      <c r="G279" s="3">
        <v>680</v>
      </c>
      <c r="H279" s="3">
        <v>0.02</v>
      </c>
      <c r="I279" s="3">
        <v>13.6</v>
      </c>
      <c r="J279" s="3" t="s">
        <v>35</v>
      </c>
    </row>
    <row r="280" spans="1:10" x14ac:dyDescent="0.35">
      <c r="A280" s="3" t="s">
        <v>310</v>
      </c>
      <c r="B280" s="4">
        <v>43306</v>
      </c>
      <c r="C280" s="3" t="s">
        <v>11</v>
      </c>
      <c r="D280" s="3" t="s">
        <v>31</v>
      </c>
      <c r="E280" s="3">
        <v>22</v>
      </c>
      <c r="F280" s="3">
        <v>80</v>
      </c>
      <c r="G280" s="3">
        <v>1760</v>
      </c>
      <c r="H280" s="3">
        <v>0.1</v>
      </c>
      <c r="I280" s="3">
        <v>176</v>
      </c>
      <c r="J280" s="3" t="s">
        <v>37</v>
      </c>
    </row>
    <row r="281" spans="1:10" x14ac:dyDescent="0.35">
      <c r="A281" s="3" t="s">
        <v>311</v>
      </c>
      <c r="B281" s="4">
        <v>43306</v>
      </c>
      <c r="C281" s="3" t="s">
        <v>34</v>
      </c>
      <c r="D281" s="3" t="s">
        <v>31</v>
      </c>
      <c r="E281" s="3">
        <v>18</v>
      </c>
      <c r="F281" s="3">
        <v>150</v>
      </c>
      <c r="G281" s="3">
        <v>2700</v>
      </c>
      <c r="H281" s="3">
        <v>0.12</v>
      </c>
      <c r="I281" s="3">
        <v>324</v>
      </c>
      <c r="J281" s="3" t="s">
        <v>39</v>
      </c>
    </row>
    <row r="282" spans="1:10" x14ac:dyDescent="0.35">
      <c r="A282" s="3" t="s">
        <v>312</v>
      </c>
      <c r="B282" s="4">
        <v>43307</v>
      </c>
      <c r="C282" s="3" t="s">
        <v>34</v>
      </c>
      <c r="D282" s="3" t="s">
        <v>12</v>
      </c>
      <c r="E282" s="3">
        <v>4</v>
      </c>
      <c r="F282" s="3">
        <v>150</v>
      </c>
      <c r="G282" s="3">
        <v>600</v>
      </c>
      <c r="H282" s="3">
        <v>0.06</v>
      </c>
      <c r="I282" s="3">
        <v>36</v>
      </c>
      <c r="J282" s="3" t="s">
        <v>13</v>
      </c>
    </row>
    <row r="283" spans="1:10" x14ac:dyDescent="0.35">
      <c r="A283" s="3" t="s">
        <v>313</v>
      </c>
      <c r="B283" s="4">
        <v>43307</v>
      </c>
      <c r="C283" s="3" t="s">
        <v>19</v>
      </c>
      <c r="D283" s="3" t="s">
        <v>16</v>
      </c>
      <c r="E283" s="3">
        <v>22</v>
      </c>
      <c r="F283" s="3">
        <v>230</v>
      </c>
      <c r="G283" s="3">
        <v>5060</v>
      </c>
      <c r="H283" s="3">
        <v>0.04</v>
      </c>
      <c r="I283" s="3">
        <v>202.4</v>
      </c>
      <c r="J283" s="3" t="s">
        <v>17</v>
      </c>
    </row>
    <row r="284" spans="1:10" x14ac:dyDescent="0.35">
      <c r="A284" s="3" t="s">
        <v>314</v>
      </c>
      <c r="B284" s="4">
        <v>43307</v>
      </c>
      <c r="C284" s="3" t="s">
        <v>34</v>
      </c>
      <c r="D284" s="3" t="s">
        <v>16</v>
      </c>
      <c r="E284" s="3">
        <v>15</v>
      </c>
      <c r="F284" s="3">
        <v>150</v>
      </c>
      <c r="G284" s="3">
        <v>2250</v>
      </c>
      <c r="H284" s="3">
        <v>0.12</v>
      </c>
      <c r="I284" s="3">
        <v>270</v>
      </c>
      <c r="J284" s="3" t="s">
        <v>20</v>
      </c>
    </row>
    <row r="285" spans="1:10" x14ac:dyDescent="0.35">
      <c r="A285" s="3" t="s">
        <v>315</v>
      </c>
      <c r="B285" s="4">
        <v>43307</v>
      </c>
      <c r="C285" s="3" t="s">
        <v>11</v>
      </c>
      <c r="D285" s="3" t="s">
        <v>12</v>
      </c>
      <c r="E285" s="3">
        <v>17</v>
      </c>
      <c r="F285" s="3">
        <v>80</v>
      </c>
      <c r="G285" s="3">
        <v>1360</v>
      </c>
      <c r="H285" s="3">
        <v>7.0000000000000007E-2</v>
      </c>
      <c r="I285" s="3">
        <v>95.2</v>
      </c>
      <c r="J285" s="3" t="s">
        <v>22</v>
      </c>
    </row>
    <row r="286" spans="1:10" x14ac:dyDescent="0.35">
      <c r="A286" s="3" t="s">
        <v>316</v>
      </c>
      <c r="B286" s="4">
        <v>43307</v>
      </c>
      <c r="C286" s="3" t="s">
        <v>15</v>
      </c>
      <c r="D286" s="3" t="s">
        <v>31</v>
      </c>
      <c r="E286" s="3">
        <v>10</v>
      </c>
      <c r="F286" s="3">
        <v>40</v>
      </c>
      <c r="G286" s="3">
        <v>400</v>
      </c>
      <c r="H286" s="3">
        <v>0.03</v>
      </c>
      <c r="I286" s="3">
        <v>12</v>
      </c>
      <c r="J286" s="3" t="s">
        <v>25</v>
      </c>
    </row>
    <row r="287" spans="1:10" x14ac:dyDescent="0.35">
      <c r="A287" s="3" t="s">
        <v>317</v>
      </c>
      <c r="B287" s="4">
        <v>43307</v>
      </c>
      <c r="C287" s="3" t="s">
        <v>15</v>
      </c>
      <c r="D287" s="3" t="s">
        <v>12</v>
      </c>
      <c r="E287" s="3">
        <v>23</v>
      </c>
      <c r="F287" s="3">
        <v>40</v>
      </c>
      <c r="G287" s="3">
        <v>920</v>
      </c>
      <c r="H287" s="3">
        <v>7.0000000000000007E-2</v>
      </c>
      <c r="I287" s="3">
        <v>64.400000000000006</v>
      </c>
      <c r="J287" s="3" t="s">
        <v>28</v>
      </c>
    </row>
    <row r="288" spans="1:10" x14ac:dyDescent="0.35">
      <c r="A288" s="3" t="s">
        <v>318</v>
      </c>
      <c r="B288" s="4">
        <v>43307</v>
      </c>
      <c r="C288" s="3" t="s">
        <v>30</v>
      </c>
      <c r="D288" s="3" t="s">
        <v>16</v>
      </c>
      <c r="E288" s="3">
        <v>22</v>
      </c>
      <c r="F288" s="3">
        <v>16</v>
      </c>
      <c r="G288" s="3">
        <v>352</v>
      </c>
      <c r="H288" s="3">
        <v>0.04</v>
      </c>
      <c r="I288" s="3">
        <v>14.08</v>
      </c>
      <c r="J288" s="3" t="s">
        <v>32</v>
      </c>
    </row>
    <row r="289" spans="1:10" x14ac:dyDescent="0.35">
      <c r="A289" s="3" t="s">
        <v>319</v>
      </c>
      <c r="B289" s="4">
        <v>43307</v>
      </c>
      <c r="C289" s="3" t="s">
        <v>11</v>
      </c>
      <c r="D289" s="3" t="s">
        <v>24</v>
      </c>
      <c r="E289" s="3">
        <v>8</v>
      </c>
      <c r="F289" s="3">
        <v>80</v>
      </c>
      <c r="G289" s="3">
        <v>640</v>
      </c>
      <c r="H289" s="3">
        <v>0.02</v>
      </c>
      <c r="I289" s="3">
        <v>12.8</v>
      </c>
      <c r="J289" s="3" t="s">
        <v>35</v>
      </c>
    </row>
    <row r="290" spans="1:10" x14ac:dyDescent="0.35">
      <c r="A290" s="3" t="s">
        <v>320</v>
      </c>
      <c r="B290" s="4">
        <v>43307</v>
      </c>
      <c r="C290" s="3" t="s">
        <v>30</v>
      </c>
      <c r="D290" s="3" t="s">
        <v>16</v>
      </c>
      <c r="E290" s="3">
        <v>4</v>
      </c>
      <c r="F290" s="3">
        <v>16</v>
      </c>
      <c r="G290" s="3">
        <v>64</v>
      </c>
      <c r="H290" s="3">
        <v>0.09</v>
      </c>
      <c r="I290" s="3">
        <v>5.76</v>
      </c>
      <c r="J290" s="3" t="s">
        <v>37</v>
      </c>
    </row>
    <row r="291" spans="1:10" x14ac:dyDescent="0.35">
      <c r="A291" s="3" t="s">
        <v>321</v>
      </c>
      <c r="B291" s="4">
        <v>43307</v>
      </c>
      <c r="C291" s="3" t="s">
        <v>15</v>
      </c>
      <c r="D291" s="3" t="s">
        <v>27</v>
      </c>
      <c r="E291" s="3">
        <v>11</v>
      </c>
      <c r="F291" s="3">
        <v>40</v>
      </c>
      <c r="G291" s="3">
        <v>440</v>
      </c>
      <c r="H291" s="3">
        <v>0.09</v>
      </c>
      <c r="I291" s="3">
        <v>39.6</v>
      </c>
      <c r="J291" s="3" t="s">
        <v>39</v>
      </c>
    </row>
    <row r="292" spans="1:10" x14ac:dyDescent="0.35">
      <c r="A292" s="3" t="s">
        <v>322</v>
      </c>
      <c r="B292" s="4">
        <v>43307</v>
      </c>
      <c r="C292" s="3" t="s">
        <v>19</v>
      </c>
      <c r="D292" s="3" t="s">
        <v>24</v>
      </c>
      <c r="E292" s="3">
        <v>18</v>
      </c>
      <c r="F292" s="3">
        <v>230</v>
      </c>
      <c r="G292" s="3">
        <v>4140</v>
      </c>
      <c r="H292" s="3">
        <v>0.01</v>
      </c>
      <c r="I292" s="3">
        <v>41.4</v>
      </c>
      <c r="J292" s="3" t="s">
        <v>41</v>
      </c>
    </row>
    <row r="293" spans="1:10" x14ac:dyDescent="0.35">
      <c r="A293" s="3" t="s">
        <v>323</v>
      </c>
      <c r="B293" s="4">
        <v>43308</v>
      </c>
      <c r="C293" s="3" t="s">
        <v>19</v>
      </c>
      <c r="D293" s="3" t="s">
        <v>16</v>
      </c>
      <c r="E293" s="3">
        <v>11</v>
      </c>
      <c r="F293" s="3">
        <v>230</v>
      </c>
      <c r="G293" s="3">
        <v>2530</v>
      </c>
      <c r="H293" s="3">
        <v>0.1</v>
      </c>
      <c r="I293" s="3">
        <v>253</v>
      </c>
      <c r="J293" s="3" t="s">
        <v>43</v>
      </c>
    </row>
    <row r="294" spans="1:10" x14ac:dyDescent="0.35">
      <c r="A294" s="3" t="s">
        <v>324</v>
      </c>
      <c r="B294" s="4">
        <v>43308</v>
      </c>
      <c r="C294" s="3" t="s">
        <v>19</v>
      </c>
      <c r="D294" s="3" t="s">
        <v>12</v>
      </c>
      <c r="E294" s="3">
        <v>15</v>
      </c>
      <c r="F294" s="3">
        <v>230</v>
      </c>
      <c r="G294" s="3">
        <v>3450</v>
      </c>
      <c r="H294" s="3">
        <v>0.05</v>
      </c>
      <c r="I294" s="3">
        <v>172.5</v>
      </c>
      <c r="J294" s="3" t="s">
        <v>13</v>
      </c>
    </row>
    <row r="295" spans="1:10" x14ac:dyDescent="0.35">
      <c r="A295" s="3" t="s">
        <v>325</v>
      </c>
      <c r="B295" s="4">
        <v>43308</v>
      </c>
      <c r="C295" s="3" t="s">
        <v>15</v>
      </c>
      <c r="D295" s="3" t="s">
        <v>31</v>
      </c>
      <c r="E295" s="3">
        <v>7</v>
      </c>
      <c r="F295" s="3">
        <v>40</v>
      </c>
      <c r="G295" s="3">
        <v>280</v>
      </c>
      <c r="H295" s="3">
        <v>0.04</v>
      </c>
      <c r="I295" s="3">
        <v>11.200000000000001</v>
      </c>
      <c r="J295" s="3" t="s">
        <v>17</v>
      </c>
    </row>
    <row r="296" spans="1:10" x14ac:dyDescent="0.35">
      <c r="A296" s="3" t="s">
        <v>326</v>
      </c>
      <c r="B296" s="4">
        <v>43308</v>
      </c>
      <c r="C296" s="3" t="s">
        <v>34</v>
      </c>
      <c r="D296" s="3" t="s">
        <v>24</v>
      </c>
      <c r="E296" s="3">
        <v>20</v>
      </c>
      <c r="F296" s="3">
        <v>150</v>
      </c>
      <c r="G296" s="3">
        <v>3000</v>
      </c>
      <c r="H296" s="3">
        <v>0.12</v>
      </c>
      <c r="I296" s="3">
        <v>360</v>
      </c>
      <c r="J296" s="3" t="s">
        <v>20</v>
      </c>
    </row>
    <row r="297" spans="1:10" x14ac:dyDescent="0.35">
      <c r="A297" s="3" t="s">
        <v>327</v>
      </c>
      <c r="B297" s="4">
        <v>43308</v>
      </c>
      <c r="C297" s="3" t="s">
        <v>11</v>
      </c>
      <c r="D297" s="3" t="s">
        <v>24</v>
      </c>
      <c r="E297" s="3">
        <v>5</v>
      </c>
      <c r="F297" s="3">
        <v>80</v>
      </c>
      <c r="G297" s="3">
        <v>400</v>
      </c>
      <c r="H297" s="3">
        <v>0.09</v>
      </c>
      <c r="I297" s="3">
        <v>36</v>
      </c>
      <c r="J297" s="3" t="s">
        <v>22</v>
      </c>
    </row>
    <row r="298" spans="1:10" x14ac:dyDescent="0.35">
      <c r="A298" s="3" t="s">
        <v>328</v>
      </c>
      <c r="B298" s="4">
        <v>43308</v>
      </c>
      <c r="C298" s="3" t="s">
        <v>11</v>
      </c>
      <c r="D298" s="3" t="s">
        <v>27</v>
      </c>
      <c r="E298" s="3">
        <v>14</v>
      </c>
      <c r="F298" s="3">
        <v>80</v>
      </c>
      <c r="G298" s="3">
        <v>1120</v>
      </c>
      <c r="H298" s="3">
        <v>0.05</v>
      </c>
      <c r="I298" s="3">
        <v>56</v>
      </c>
      <c r="J298" s="3" t="s">
        <v>25</v>
      </c>
    </row>
    <row r="299" spans="1:10" x14ac:dyDescent="0.35">
      <c r="A299" s="3" t="s">
        <v>329</v>
      </c>
      <c r="B299" s="4">
        <v>43308</v>
      </c>
      <c r="C299" s="3" t="s">
        <v>19</v>
      </c>
      <c r="D299" s="3" t="s">
        <v>27</v>
      </c>
      <c r="E299" s="3">
        <v>7</v>
      </c>
      <c r="F299" s="3">
        <v>230</v>
      </c>
      <c r="G299" s="3">
        <v>1610</v>
      </c>
      <c r="H299" s="3">
        <v>0.06</v>
      </c>
      <c r="I299" s="3">
        <v>96.6</v>
      </c>
      <c r="J299" s="3" t="s">
        <v>28</v>
      </c>
    </row>
    <row r="300" spans="1:10" x14ac:dyDescent="0.35">
      <c r="A300" s="3" t="s">
        <v>330</v>
      </c>
      <c r="B300" s="4">
        <v>43308</v>
      </c>
      <c r="C300" s="3" t="s">
        <v>15</v>
      </c>
      <c r="D300" s="3" t="s">
        <v>27</v>
      </c>
      <c r="E300" s="3">
        <v>13</v>
      </c>
      <c r="F300" s="3">
        <v>40</v>
      </c>
      <c r="G300" s="3">
        <v>520</v>
      </c>
      <c r="H300" s="3">
        <v>0.06</v>
      </c>
      <c r="I300" s="3">
        <v>31.2</v>
      </c>
      <c r="J300" s="3" t="s">
        <v>32</v>
      </c>
    </row>
    <row r="301" spans="1:10" x14ac:dyDescent="0.35">
      <c r="A301" s="3" t="s">
        <v>331</v>
      </c>
      <c r="B301" s="4">
        <v>43309</v>
      </c>
      <c r="C301" s="3" t="s">
        <v>30</v>
      </c>
      <c r="D301" s="3" t="s">
        <v>16</v>
      </c>
      <c r="E301" s="3">
        <v>15</v>
      </c>
      <c r="F301" s="3">
        <v>16</v>
      </c>
      <c r="G301" s="3">
        <v>240</v>
      </c>
      <c r="H301" s="3">
        <v>0.02</v>
      </c>
      <c r="I301" s="3">
        <v>4.8</v>
      </c>
      <c r="J301" s="3" t="s">
        <v>35</v>
      </c>
    </row>
    <row r="302" spans="1:10" x14ac:dyDescent="0.35">
      <c r="A302" s="3" t="s">
        <v>332</v>
      </c>
      <c r="B302" s="4">
        <v>43309</v>
      </c>
      <c r="C302" s="3" t="s">
        <v>30</v>
      </c>
      <c r="D302" s="3" t="s">
        <v>27</v>
      </c>
      <c r="E302" s="3">
        <v>5</v>
      </c>
      <c r="F302" s="3">
        <v>16</v>
      </c>
      <c r="G302" s="3">
        <v>80</v>
      </c>
      <c r="H302" s="3">
        <v>0.09</v>
      </c>
      <c r="I302" s="3">
        <v>7.1999999999999993</v>
      </c>
      <c r="J302" s="3" t="s">
        <v>37</v>
      </c>
    </row>
    <row r="303" spans="1:10" x14ac:dyDescent="0.35">
      <c r="A303" s="3" t="s">
        <v>333</v>
      </c>
      <c r="B303" s="4">
        <v>43309</v>
      </c>
      <c r="C303" s="3" t="s">
        <v>30</v>
      </c>
      <c r="D303" s="3" t="s">
        <v>12</v>
      </c>
      <c r="E303" s="3">
        <v>22</v>
      </c>
      <c r="F303" s="3">
        <v>16</v>
      </c>
      <c r="G303" s="3">
        <v>352</v>
      </c>
      <c r="H303" s="3">
        <v>0.06</v>
      </c>
      <c r="I303" s="3">
        <v>21.119999999999997</v>
      </c>
      <c r="J303" s="3" t="s">
        <v>39</v>
      </c>
    </row>
    <row r="304" spans="1:10" x14ac:dyDescent="0.35">
      <c r="A304" s="3" t="s">
        <v>334</v>
      </c>
      <c r="B304" s="4">
        <v>43309</v>
      </c>
      <c r="C304" s="3" t="s">
        <v>34</v>
      </c>
      <c r="D304" s="3" t="s">
        <v>24</v>
      </c>
      <c r="E304" s="3">
        <v>15</v>
      </c>
      <c r="F304" s="3">
        <v>150</v>
      </c>
      <c r="G304" s="3">
        <v>2250</v>
      </c>
      <c r="H304" s="3">
        <v>0.05</v>
      </c>
      <c r="I304" s="3">
        <v>112.5</v>
      </c>
      <c r="J304" s="3" t="s">
        <v>41</v>
      </c>
    </row>
    <row r="305" spans="1:10" x14ac:dyDescent="0.35">
      <c r="A305" s="3" t="s">
        <v>335</v>
      </c>
      <c r="B305" s="4">
        <v>43309</v>
      </c>
      <c r="C305" s="3" t="s">
        <v>19</v>
      </c>
      <c r="D305" s="3" t="s">
        <v>24</v>
      </c>
      <c r="E305" s="3">
        <v>5</v>
      </c>
      <c r="F305" s="3">
        <v>230</v>
      </c>
      <c r="G305" s="3">
        <v>1150</v>
      </c>
      <c r="H305" s="3">
        <v>0.01</v>
      </c>
      <c r="I305" s="3">
        <v>11.5</v>
      </c>
      <c r="J305" s="3" t="s">
        <v>43</v>
      </c>
    </row>
    <row r="306" spans="1:10" x14ac:dyDescent="0.35">
      <c r="A306" s="3" t="s">
        <v>336</v>
      </c>
      <c r="B306" s="4">
        <v>43309</v>
      </c>
      <c r="C306" s="3" t="s">
        <v>15</v>
      </c>
      <c r="D306" s="3" t="s">
        <v>12</v>
      </c>
      <c r="E306" s="3">
        <v>11</v>
      </c>
      <c r="F306" s="3">
        <v>40</v>
      </c>
      <c r="G306" s="3">
        <v>440</v>
      </c>
      <c r="H306" s="3">
        <v>0.04</v>
      </c>
      <c r="I306" s="3">
        <v>17.600000000000001</v>
      </c>
      <c r="J306" s="3" t="s">
        <v>13</v>
      </c>
    </row>
    <row r="307" spans="1:10" x14ac:dyDescent="0.35">
      <c r="A307" s="3" t="s">
        <v>337</v>
      </c>
      <c r="B307" s="4">
        <v>43309</v>
      </c>
      <c r="C307" s="3" t="s">
        <v>34</v>
      </c>
      <c r="D307" s="3" t="s">
        <v>16</v>
      </c>
      <c r="E307" s="3">
        <v>13</v>
      </c>
      <c r="F307" s="3">
        <v>150</v>
      </c>
      <c r="G307" s="3">
        <v>1950</v>
      </c>
      <c r="H307" s="3">
        <v>0.08</v>
      </c>
      <c r="I307" s="3">
        <v>156</v>
      </c>
      <c r="J307" s="3" t="s">
        <v>17</v>
      </c>
    </row>
    <row r="308" spans="1:10" x14ac:dyDescent="0.35">
      <c r="A308" s="3" t="s">
        <v>338</v>
      </c>
      <c r="B308" s="4">
        <v>43309</v>
      </c>
      <c r="C308" s="3" t="s">
        <v>30</v>
      </c>
      <c r="D308" s="3" t="s">
        <v>31</v>
      </c>
      <c r="E308" s="3">
        <v>13</v>
      </c>
      <c r="F308" s="3">
        <v>16</v>
      </c>
      <c r="G308" s="3">
        <v>208</v>
      </c>
      <c r="H308" s="3">
        <v>7.0000000000000007E-2</v>
      </c>
      <c r="I308" s="3">
        <v>14.560000000000002</v>
      </c>
      <c r="J308" s="3" t="s">
        <v>20</v>
      </c>
    </row>
    <row r="309" spans="1:10" x14ac:dyDescent="0.35">
      <c r="A309" s="3" t="s">
        <v>339</v>
      </c>
      <c r="B309" s="4">
        <v>43309</v>
      </c>
      <c r="C309" s="3" t="s">
        <v>30</v>
      </c>
      <c r="D309" s="3" t="s">
        <v>31</v>
      </c>
      <c r="E309" s="3">
        <v>3</v>
      </c>
      <c r="F309" s="3">
        <v>16</v>
      </c>
      <c r="G309" s="3">
        <v>48</v>
      </c>
      <c r="H309" s="3">
        <v>0.03</v>
      </c>
      <c r="I309" s="3">
        <v>1.44</v>
      </c>
      <c r="J309" s="3" t="s">
        <v>22</v>
      </c>
    </row>
    <row r="310" spans="1:10" x14ac:dyDescent="0.35">
      <c r="A310" s="3" t="s">
        <v>340</v>
      </c>
      <c r="B310" s="4">
        <v>43310</v>
      </c>
      <c r="C310" s="3" t="s">
        <v>34</v>
      </c>
      <c r="D310" s="3" t="s">
        <v>16</v>
      </c>
      <c r="E310" s="3">
        <v>2</v>
      </c>
      <c r="F310" s="3">
        <v>150</v>
      </c>
      <c r="G310" s="3">
        <v>300</v>
      </c>
      <c r="H310" s="3">
        <v>0.09</v>
      </c>
      <c r="I310" s="3">
        <v>27</v>
      </c>
      <c r="J310" s="3" t="s">
        <v>25</v>
      </c>
    </row>
    <row r="311" spans="1:10" x14ac:dyDescent="0.35">
      <c r="A311" s="3" t="s">
        <v>341</v>
      </c>
      <c r="B311" s="4">
        <v>43310</v>
      </c>
      <c r="C311" s="3" t="s">
        <v>19</v>
      </c>
      <c r="D311" s="3" t="s">
        <v>24</v>
      </c>
      <c r="E311" s="3">
        <v>14</v>
      </c>
      <c r="F311" s="3">
        <v>230</v>
      </c>
      <c r="G311" s="3">
        <v>3220</v>
      </c>
      <c r="H311" s="3">
        <v>0.03</v>
      </c>
      <c r="I311" s="3">
        <v>96.6</v>
      </c>
      <c r="J311" s="3" t="s">
        <v>28</v>
      </c>
    </row>
    <row r="312" spans="1:10" x14ac:dyDescent="0.35">
      <c r="A312" s="3" t="s">
        <v>342</v>
      </c>
      <c r="B312" s="4">
        <v>43310</v>
      </c>
      <c r="C312" s="3" t="s">
        <v>15</v>
      </c>
      <c r="D312" s="3" t="s">
        <v>24</v>
      </c>
      <c r="E312" s="3">
        <v>11</v>
      </c>
      <c r="F312" s="3">
        <v>40</v>
      </c>
      <c r="G312" s="3">
        <v>440</v>
      </c>
      <c r="H312" s="3">
        <v>0.12</v>
      </c>
      <c r="I312" s="3">
        <v>52.8</v>
      </c>
      <c r="J312" s="3" t="s">
        <v>32</v>
      </c>
    </row>
    <row r="313" spans="1:10" x14ac:dyDescent="0.35">
      <c r="A313" s="3" t="s">
        <v>343</v>
      </c>
      <c r="B313" s="4">
        <v>43310</v>
      </c>
      <c r="C313" s="3" t="s">
        <v>30</v>
      </c>
      <c r="D313" s="3" t="s">
        <v>31</v>
      </c>
      <c r="E313" s="3">
        <v>3</v>
      </c>
      <c r="F313" s="3">
        <v>16</v>
      </c>
      <c r="G313" s="3">
        <v>48</v>
      </c>
      <c r="H313" s="3">
        <v>0.06</v>
      </c>
      <c r="I313" s="3">
        <v>2.88</v>
      </c>
      <c r="J313" s="3" t="s">
        <v>35</v>
      </c>
    </row>
    <row r="314" spans="1:10" x14ac:dyDescent="0.35">
      <c r="A314" s="3" t="s">
        <v>344</v>
      </c>
      <c r="B314" s="4">
        <v>43310</v>
      </c>
      <c r="C314" s="3" t="s">
        <v>15</v>
      </c>
      <c r="D314" s="3" t="s">
        <v>31</v>
      </c>
      <c r="E314" s="3">
        <v>18</v>
      </c>
      <c r="F314" s="3">
        <v>40</v>
      </c>
      <c r="G314" s="3">
        <v>720</v>
      </c>
      <c r="H314" s="3">
        <v>0.06</v>
      </c>
      <c r="I314" s="3">
        <v>43.199999999999996</v>
      </c>
      <c r="J314" s="3" t="s">
        <v>37</v>
      </c>
    </row>
    <row r="315" spans="1:10" x14ac:dyDescent="0.35">
      <c r="A315" s="3" t="s">
        <v>345</v>
      </c>
      <c r="B315" s="4">
        <v>43310</v>
      </c>
      <c r="C315" s="3" t="s">
        <v>19</v>
      </c>
      <c r="D315" s="3" t="s">
        <v>31</v>
      </c>
      <c r="E315" s="3">
        <v>7</v>
      </c>
      <c r="F315" s="3">
        <v>230</v>
      </c>
      <c r="G315" s="3">
        <v>1610</v>
      </c>
      <c r="H315" s="3">
        <v>0.05</v>
      </c>
      <c r="I315" s="3">
        <v>80.5</v>
      </c>
      <c r="J315" s="3" t="s">
        <v>39</v>
      </c>
    </row>
    <row r="316" spans="1:10" x14ac:dyDescent="0.35">
      <c r="A316" s="3" t="s">
        <v>346</v>
      </c>
      <c r="B316" s="4">
        <v>43310</v>
      </c>
      <c r="C316" s="3" t="s">
        <v>15</v>
      </c>
      <c r="D316" s="3" t="s">
        <v>31</v>
      </c>
      <c r="E316" s="3">
        <v>23</v>
      </c>
      <c r="F316" s="3">
        <v>40</v>
      </c>
      <c r="G316" s="3">
        <v>920</v>
      </c>
      <c r="H316" s="3">
        <v>0.05</v>
      </c>
      <c r="I316" s="3">
        <v>46</v>
      </c>
      <c r="J316" s="3" t="s">
        <v>41</v>
      </c>
    </row>
    <row r="317" spans="1:10" x14ac:dyDescent="0.35">
      <c r="A317" s="3" t="s">
        <v>347</v>
      </c>
      <c r="B317" s="4">
        <v>43311</v>
      </c>
      <c r="C317" s="3" t="s">
        <v>19</v>
      </c>
      <c r="D317" s="3" t="s">
        <v>31</v>
      </c>
      <c r="E317" s="3">
        <v>2</v>
      </c>
      <c r="F317" s="3">
        <v>230</v>
      </c>
      <c r="G317" s="3">
        <v>460</v>
      </c>
      <c r="H317" s="3">
        <v>0.08</v>
      </c>
      <c r="I317" s="3">
        <v>36.800000000000004</v>
      </c>
      <c r="J317" s="3" t="s">
        <v>43</v>
      </c>
    </row>
    <row r="318" spans="1:10" x14ac:dyDescent="0.35">
      <c r="A318" s="3" t="s">
        <v>348</v>
      </c>
      <c r="B318" s="4">
        <v>43311</v>
      </c>
      <c r="C318" s="3" t="s">
        <v>15</v>
      </c>
      <c r="D318" s="3" t="s">
        <v>27</v>
      </c>
      <c r="E318" s="3">
        <v>18</v>
      </c>
      <c r="F318" s="3">
        <v>40</v>
      </c>
      <c r="G318" s="3">
        <v>720</v>
      </c>
      <c r="H318" s="3">
        <v>0.04</v>
      </c>
      <c r="I318" s="3">
        <v>28.8</v>
      </c>
      <c r="J318" s="3" t="s">
        <v>13</v>
      </c>
    </row>
    <row r="319" spans="1:10" x14ac:dyDescent="0.35">
      <c r="A319" s="3" t="s">
        <v>349</v>
      </c>
      <c r="B319" s="4">
        <v>43311</v>
      </c>
      <c r="C319" s="3" t="s">
        <v>19</v>
      </c>
      <c r="D319" s="3" t="s">
        <v>16</v>
      </c>
      <c r="E319" s="3">
        <v>7</v>
      </c>
      <c r="F319" s="3">
        <v>230</v>
      </c>
      <c r="G319" s="3">
        <v>1610</v>
      </c>
      <c r="H319" s="3">
        <v>0.05</v>
      </c>
      <c r="I319" s="3">
        <v>80.5</v>
      </c>
      <c r="J319" s="3" t="s">
        <v>17</v>
      </c>
    </row>
    <row r="320" spans="1:10" x14ac:dyDescent="0.35">
      <c r="A320" s="3" t="s">
        <v>350</v>
      </c>
      <c r="B320" s="4">
        <v>43311</v>
      </c>
      <c r="C320" s="3" t="s">
        <v>15</v>
      </c>
      <c r="D320" s="3" t="s">
        <v>31</v>
      </c>
      <c r="E320" s="3">
        <v>14</v>
      </c>
      <c r="F320" s="3">
        <v>40</v>
      </c>
      <c r="G320" s="3">
        <v>560</v>
      </c>
      <c r="H320" s="3">
        <v>0.11</v>
      </c>
      <c r="I320" s="3">
        <v>61.6</v>
      </c>
      <c r="J320" s="3" t="s">
        <v>20</v>
      </c>
    </row>
    <row r="321" spans="1:10" x14ac:dyDescent="0.35">
      <c r="A321" s="3" t="s">
        <v>351</v>
      </c>
      <c r="B321" s="4">
        <v>43311</v>
      </c>
      <c r="C321" s="3" t="s">
        <v>34</v>
      </c>
      <c r="D321" s="3" t="s">
        <v>16</v>
      </c>
      <c r="E321" s="3">
        <v>13</v>
      </c>
      <c r="F321" s="3">
        <v>150</v>
      </c>
      <c r="G321" s="3">
        <v>1950</v>
      </c>
      <c r="H321" s="3">
        <v>0.02</v>
      </c>
      <c r="I321" s="3">
        <v>39</v>
      </c>
      <c r="J321" s="3" t="s">
        <v>22</v>
      </c>
    </row>
    <row r="322" spans="1:10" x14ac:dyDescent="0.35">
      <c r="A322" s="3" t="s">
        <v>352</v>
      </c>
      <c r="B322" s="4">
        <v>43311</v>
      </c>
      <c r="C322" s="3" t="s">
        <v>11</v>
      </c>
      <c r="D322" s="3" t="s">
        <v>12</v>
      </c>
      <c r="E322" s="3">
        <v>12</v>
      </c>
      <c r="F322" s="3">
        <v>80</v>
      </c>
      <c r="G322" s="3">
        <v>960</v>
      </c>
      <c r="H322" s="3">
        <v>0.04</v>
      </c>
      <c r="I322" s="3">
        <v>38.4</v>
      </c>
      <c r="J322" s="3" t="s">
        <v>25</v>
      </c>
    </row>
    <row r="323" spans="1:10" x14ac:dyDescent="0.35">
      <c r="A323" s="3" t="s">
        <v>353</v>
      </c>
      <c r="B323" s="4">
        <v>43311</v>
      </c>
      <c r="C323" s="3" t="s">
        <v>19</v>
      </c>
      <c r="D323" s="3" t="s">
        <v>31</v>
      </c>
      <c r="E323" s="3">
        <v>20</v>
      </c>
      <c r="F323" s="3">
        <v>230</v>
      </c>
      <c r="G323" s="3">
        <v>4600</v>
      </c>
      <c r="H323" s="3">
        <v>0.09</v>
      </c>
      <c r="I323" s="3">
        <v>414</v>
      </c>
      <c r="J323" s="3" t="s">
        <v>28</v>
      </c>
    </row>
    <row r="324" spans="1:10" x14ac:dyDescent="0.35">
      <c r="A324" s="3" t="s">
        <v>354</v>
      </c>
      <c r="B324" s="4">
        <v>43311</v>
      </c>
      <c r="C324" s="3" t="s">
        <v>15</v>
      </c>
      <c r="D324" s="3" t="s">
        <v>31</v>
      </c>
      <c r="E324" s="3">
        <v>5</v>
      </c>
      <c r="F324" s="3">
        <v>40</v>
      </c>
      <c r="G324" s="3">
        <v>200</v>
      </c>
      <c r="H324" s="3">
        <v>0.03</v>
      </c>
      <c r="I324" s="3">
        <v>6</v>
      </c>
      <c r="J324" s="3" t="s">
        <v>32</v>
      </c>
    </row>
    <row r="325" spans="1:10" x14ac:dyDescent="0.35">
      <c r="A325" s="3" t="s">
        <v>355</v>
      </c>
      <c r="B325" s="4">
        <v>43311</v>
      </c>
      <c r="C325" s="3" t="s">
        <v>30</v>
      </c>
      <c r="D325" s="3" t="s">
        <v>31</v>
      </c>
      <c r="E325" s="3">
        <v>2</v>
      </c>
      <c r="F325" s="3">
        <v>16</v>
      </c>
      <c r="G325" s="3">
        <v>32</v>
      </c>
      <c r="H325" s="3">
        <v>0.04</v>
      </c>
      <c r="I325" s="3">
        <v>1.28</v>
      </c>
      <c r="J325" s="3" t="s">
        <v>35</v>
      </c>
    </row>
    <row r="326" spans="1:10" x14ac:dyDescent="0.35">
      <c r="A326" s="3" t="s">
        <v>356</v>
      </c>
      <c r="B326" s="4">
        <v>43282</v>
      </c>
      <c r="C326" s="3" t="s">
        <v>11</v>
      </c>
      <c r="D326" s="3" t="s">
        <v>24</v>
      </c>
      <c r="E326" s="3">
        <v>10</v>
      </c>
      <c r="F326" s="3">
        <v>80</v>
      </c>
      <c r="G326" s="3">
        <v>800</v>
      </c>
      <c r="H326" s="3">
        <v>0.08</v>
      </c>
      <c r="I326" s="3">
        <v>64</v>
      </c>
      <c r="J326" s="3" t="s">
        <v>37</v>
      </c>
    </row>
    <row r="327" spans="1:10" x14ac:dyDescent="0.35">
      <c r="A327" s="3" t="s">
        <v>357</v>
      </c>
      <c r="B327" s="4">
        <v>43282</v>
      </c>
      <c r="C327" s="3" t="s">
        <v>15</v>
      </c>
      <c r="D327" s="3" t="s">
        <v>27</v>
      </c>
      <c r="E327" s="3">
        <v>18</v>
      </c>
      <c r="F327" s="3">
        <v>40</v>
      </c>
      <c r="G327" s="3">
        <v>720</v>
      </c>
      <c r="H327" s="3">
        <v>0.06</v>
      </c>
      <c r="I327" s="3">
        <v>43.199999999999996</v>
      </c>
      <c r="J327" s="3" t="s">
        <v>39</v>
      </c>
    </row>
    <row r="328" spans="1:10" x14ac:dyDescent="0.35">
      <c r="A328" s="3" t="s">
        <v>358</v>
      </c>
      <c r="B328" s="4">
        <v>43282</v>
      </c>
      <c r="C328" s="3" t="s">
        <v>19</v>
      </c>
      <c r="D328" s="3" t="s">
        <v>16</v>
      </c>
      <c r="E328" s="3">
        <v>7</v>
      </c>
      <c r="F328" s="3">
        <v>230</v>
      </c>
      <c r="G328" s="3">
        <v>1610</v>
      </c>
      <c r="H328" s="3">
        <v>0.08</v>
      </c>
      <c r="I328" s="3">
        <v>128.80000000000001</v>
      </c>
      <c r="J328" s="3" t="s">
        <v>41</v>
      </c>
    </row>
    <row r="329" spans="1:10" x14ac:dyDescent="0.35">
      <c r="A329" s="3" t="s">
        <v>359</v>
      </c>
      <c r="B329" s="4">
        <v>43282</v>
      </c>
      <c r="C329" s="3" t="s">
        <v>15</v>
      </c>
      <c r="D329" s="3" t="s">
        <v>27</v>
      </c>
      <c r="E329" s="3">
        <v>15</v>
      </c>
      <c r="F329" s="3">
        <v>40</v>
      </c>
      <c r="G329" s="3">
        <v>600</v>
      </c>
      <c r="H329" s="3">
        <v>0.03</v>
      </c>
      <c r="I329" s="3">
        <v>18</v>
      </c>
      <c r="J329" s="3" t="s">
        <v>43</v>
      </c>
    </row>
    <row r="330" spans="1:10" x14ac:dyDescent="0.35">
      <c r="A330" s="3" t="s">
        <v>360</v>
      </c>
      <c r="B330" s="4">
        <v>43282</v>
      </c>
      <c r="C330" s="3" t="s">
        <v>30</v>
      </c>
      <c r="D330" s="3" t="s">
        <v>24</v>
      </c>
      <c r="E330" s="3">
        <v>6</v>
      </c>
      <c r="F330" s="3">
        <v>16</v>
      </c>
      <c r="G330" s="3">
        <v>96</v>
      </c>
      <c r="H330" s="3">
        <v>0.01</v>
      </c>
      <c r="I330" s="3">
        <v>0.96</v>
      </c>
      <c r="J330" s="3" t="s">
        <v>13</v>
      </c>
    </row>
    <row r="331" spans="1:10" x14ac:dyDescent="0.35">
      <c r="A331" s="3" t="s">
        <v>361</v>
      </c>
      <c r="B331" s="4">
        <v>43282</v>
      </c>
      <c r="C331" s="3" t="s">
        <v>34</v>
      </c>
      <c r="D331" s="3" t="s">
        <v>27</v>
      </c>
      <c r="E331" s="3">
        <v>9</v>
      </c>
      <c r="F331" s="3">
        <v>150</v>
      </c>
      <c r="G331" s="3">
        <v>1350</v>
      </c>
      <c r="H331" s="3">
        <v>0.02</v>
      </c>
      <c r="I331" s="3">
        <v>27</v>
      </c>
      <c r="J331" s="3" t="s">
        <v>17</v>
      </c>
    </row>
    <row r="332" spans="1:10" x14ac:dyDescent="0.35">
      <c r="A332" s="3" t="s">
        <v>362</v>
      </c>
      <c r="B332" s="4">
        <v>43282</v>
      </c>
      <c r="C332" s="3" t="s">
        <v>30</v>
      </c>
      <c r="D332" s="3" t="s">
        <v>31</v>
      </c>
      <c r="E332" s="3">
        <v>15</v>
      </c>
      <c r="F332" s="3">
        <v>16</v>
      </c>
      <c r="G332" s="3">
        <v>240</v>
      </c>
      <c r="H332" s="3">
        <v>0.01</v>
      </c>
      <c r="I332" s="3">
        <v>2.4</v>
      </c>
      <c r="J332" s="3" t="s">
        <v>20</v>
      </c>
    </row>
    <row r="333" spans="1:10" x14ac:dyDescent="0.35">
      <c r="A333" s="3" t="s">
        <v>363</v>
      </c>
      <c r="B333" s="4">
        <v>43282</v>
      </c>
      <c r="C333" s="3" t="s">
        <v>11</v>
      </c>
      <c r="D333" s="3" t="s">
        <v>31</v>
      </c>
      <c r="E333" s="3">
        <v>22</v>
      </c>
      <c r="F333" s="3">
        <v>80</v>
      </c>
      <c r="G333" s="3">
        <v>1760</v>
      </c>
      <c r="H333" s="3">
        <v>0.11</v>
      </c>
      <c r="I333" s="3">
        <v>193.6</v>
      </c>
      <c r="J333" s="3" t="s">
        <v>22</v>
      </c>
    </row>
    <row r="334" spans="1:10" x14ac:dyDescent="0.35">
      <c r="A334" s="3" t="s">
        <v>364</v>
      </c>
      <c r="B334" s="4">
        <v>43282</v>
      </c>
      <c r="C334" s="3" t="s">
        <v>34</v>
      </c>
      <c r="D334" s="3" t="s">
        <v>16</v>
      </c>
      <c r="E334" s="3">
        <v>13</v>
      </c>
      <c r="F334" s="3">
        <v>150</v>
      </c>
      <c r="G334" s="3">
        <v>1950</v>
      </c>
      <c r="H334" s="3">
        <v>0.02</v>
      </c>
      <c r="I334" s="3">
        <v>39</v>
      </c>
      <c r="J334" s="3" t="s">
        <v>25</v>
      </c>
    </row>
    <row r="335" spans="1:10" x14ac:dyDescent="0.35">
      <c r="A335" s="3" t="s">
        <v>365</v>
      </c>
      <c r="B335" s="4">
        <v>43283</v>
      </c>
      <c r="C335" s="3" t="s">
        <v>30</v>
      </c>
      <c r="D335" s="3" t="s">
        <v>24</v>
      </c>
      <c r="E335" s="3">
        <v>12</v>
      </c>
      <c r="F335" s="3">
        <v>16</v>
      </c>
      <c r="G335" s="3">
        <v>192</v>
      </c>
      <c r="H335" s="3">
        <v>0.03</v>
      </c>
      <c r="I335" s="3">
        <v>5.76</v>
      </c>
      <c r="J335" s="3" t="s">
        <v>28</v>
      </c>
    </row>
    <row r="336" spans="1:10" x14ac:dyDescent="0.35">
      <c r="A336" s="3" t="s">
        <v>366</v>
      </c>
      <c r="B336" s="4">
        <v>43283</v>
      </c>
      <c r="C336" s="3" t="s">
        <v>15</v>
      </c>
      <c r="D336" s="3" t="s">
        <v>27</v>
      </c>
      <c r="E336" s="3">
        <v>4</v>
      </c>
      <c r="F336" s="3">
        <v>40</v>
      </c>
      <c r="G336" s="3">
        <v>160</v>
      </c>
      <c r="H336" s="3">
        <v>0.05</v>
      </c>
      <c r="I336" s="3">
        <v>8</v>
      </c>
      <c r="J336" s="3" t="s">
        <v>32</v>
      </c>
    </row>
    <row r="337" spans="1:10" x14ac:dyDescent="0.35">
      <c r="A337" s="3" t="s">
        <v>367</v>
      </c>
      <c r="B337" s="4">
        <v>43283</v>
      </c>
      <c r="C337" s="3" t="s">
        <v>19</v>
      </c>
      <c r="D337" s="3" t="s">
        <v>16</v>
      </c>
      <c r="E337" s="3">
        <v>19</v>
      </c>
      <c r="F337" s="3">
        <v>230</v>
      </c>
      <c r="G337" s="3">
        <v>4370</v>
      </c>
      <c r="H337" s="3">
        <v>0.11</v>
      </c>
      <c r="I337" s="3">
        <v>480.7</v>
      </c>
      <c r="J337" s="3" t="s">
        <v>35</v>
      </c>
    </row>
    <row r="338" spans="1:10" x14ac:dyDescent="0.35">
      <c r="A338" s="3" t="s">
        <v>368</v>
      </c>
      <c r="B338" s="4">
        <v>43283</v>
      </c>
      <c r="C338" s="3" t="s">
        <v>15</v>
      </c>
      <c r="D338" s="3" t="s">
        <v>16</v>
      </c>
      <c r="E338" s="3">
        <v>4</v>
      </c>
      <c r="F338" s="3">
        <v>40</v>
      </c>
      <c r="G338" s="3">
        <v>160</v>
      </c>
      <c r="H338" s="3">
        <v>0.06</v>
      </c>
      <c r="I338" s="3">
        <v>9.6</v>
      </c>
      <c r="J338" s="3" t="s">
        <v>37</v>
      </c>
    </row>
    <row r="339" spans="1:10" x14ac:dyDescent="0.35">
      <c r="A339" s="3" t="s">
        <v>369</v>
      </c>
      <c r="B339" s="4">
        <v>43283</v>
      </c>
      <c r="C339" s="3" t="s">
        <v>30</v>
      </c>
      <c r="D339" s="3" t="s">
        <v>24</v>
      </c>
      <c r="E339" s="3">
        <v>6</v>
      </c>
      <c r="F339" s="3">
        <v>16</v>
      </c>
      <c r="G339" s="3">
        <v>96</v>
      </c>
      <c r="H339" s="3">
        <v>7.0000000000000007E-2</v>
      </c>
      <c r="I339" s="3">
        <v>6.7200000000000006</v>
      </c>
      <c r="J339" s="3" t="s">
        <v>39</v>
      </c>
    </row>
    <row r="340" spans="1:10" x14ac:dyDescent="0.35">
      <c r="A340" s="3" t="s">
        <v>370</v>
      </c>
      <c r="B340" s="4">
        <v>43283</v>
      </c>
      <c r="C340" s="3" t="s">
        <v>19</v>
      </c>
      <c r="D340" s="3" t="s">
        <v>24</v>
      </c>
      <c r="E340" s="3">
        <v>15</v>
      </c>
      <c r="F340" s="3">
        <v>230</v>
      </c>
      <c r="G340" s="3">
        <v>3450</v>
      </c>
      <c r="H340" s="3">
        <v>0.11</v>
      </c>
      <c r="I340" s="3">
        <v>379.5</v>
      </c>
      <c r="J340" s="3" t="s">
        <v>41</v>
      </c>
    </row>
    <row r="341" spans="1:10" x14ac:dyDescent="0.35">
      <c r="A341" s="3" t="s">
        <v>371</v>
      </c>
      <c r="B341" s="4">
        <v>43283</v>
      </c>
      <c r="C341" s="3" t="s">
        <v>11</v>
      </c>
      <c r="D341" s="3" t="s">
        <v>24</v>
      </c>
      <c r="E341" s="3">
        <v>16</v>
      </c>
      <c r="F341" s="3">
        <v>80</v>
      </c>
      <c r="G341" s="3">
        <v>1280</v>
      </c>
      <c r="H341" s="3">
        <v>0.04</v>
      </c>
      <c r="I341" s="3">
        <v>51.2</v>
      </c>
      <c r="J341" s="3" t="s">
        <v>43</v>
      </c>
    </row>
    <row r="342" spans="1:10" x14ac:dyDescent="0.35">
      <c r="A342" s="3" t="s">
        <v>372</v>
      </c>
      <c r="B342" s="4">
        <v>43283</v>
      </c>
      <c r="C342" s="3" t="s">
        <v>15</v>
      </c>
      <c r="D342" s="3" t="s">
        <v>12</v>
      </c>
      <c r="E342" s="3">
        <v>7</v>
      </c>
      <c r="F342" s="3">
        <v>40</v>
      </c>
      <c r="G342" s="3">
        <v>280</v>
      </c>
      <c r="H342" s="3">
        <v>0.1</v>
      </c>
      <c r="I342" s="3">
        <v>28</v>
      </c>
      <c r="J342" s="3" t="s">
        <v>13</v>
      </c>
    </row>
    <row r="343" spans="1:10" x14ac:dyDescent="0.35">
      <c r="A343" s="3" t="s">
        <v>373</v>
      </c>
      <c r="B343" s="4">
        <v>43283</v>
      </c>
      <c r="C343" s="3" t="s">
        <v>15</v>
      </c>
      <c r="D343" s="3" t="s">
        <v>24</v>
      </c>
      <c r="E343" s="3">
        <v>11</v>
      </c>
      <c r="F343" s="3">
        <v>40</v>
      </c>
      <c r="G343" s="3">
        <v>440</v>
      </c>
      <c r="H343" s="3">
        <v>0.05</v>
      </c>
      <c r="I343" s="3">
        <v>22</v>
      </c>
      <c r="J343" s="3" t="s">
        <v>17</v>
      </c>
    </row>
    <row r="344" spans="1:10" x14ac:dyDescent="0.35">
      <c r="A344" s="3" t="s">
        <v>374</v>
      </c>
      <c r="B344" s="4">
        <v>43283</v>
      </c>
      <c r="C344" s="3" t="s">
        <v>11</v>
      </c>
      <c r="D344" s="3" t="s">
        <v>31</v>
      </c>
      <c r="E344" s="3">
        <v>9</v>
      </c>
      <c r="F344" s="3">
        <v>80</v>
      </c>
      <c r="G344" s="3">
        <v>720</v>
      </c>
      <c r="H344" s="3">
        <v>0.06</v>
      </c>
      <c r="I344" s="3">
        <v>43.199999999999996</v>
      </c>
      <c r="J344" s="3" t="s">
        <v>20</v>
      </c>
    </row>
    <row r="345" spans="1:10" x14ac:dyDescent="0.35">
      <c r="A345" s="3" t="s">
        <v>375</v>
      </c>
      <c r="B345" s="4">
        <v>43283</v>
      </c>
      <c r="C345" s="3" t="s">
        <v>11</v>
      </c>
      <c r="D345" s="3" t="s">
        <v>16</v>
      </c>
      <c r="E345" s="3">
        <v>21</v>
      </c>
      <c r="F345" s="3">
        <v>80</v>
      </c>
      <c r="G345" s="3">
        <v>1680</v>
      </c>
      <c r="H345" s="3">
        <v>0.04</v>
      </c>
      <c r="I345" s="3">
        <v>67.2</v>
      </c>
      <c r="J345" s="3" t="s">
        <v>22</v>
      </c>
    </row>
    <row r="346" spans="1:10" x14ac:dyDescent="0.35">
      <c r="A346" s="3" t="s">
        <v>376</v>
      </c>
      <c r="B346" s="4">
        <v>43283</v>
      </c>
      <c r="C346" s="3" t="s">
        <v>15</v>
      </c>
      <c r="D346" s="3" t="s">
        <v>24</v>
      </c>
      <c r="E346" s="3">
        <v>2</v>
      </c>
      <c r="F346" s="3">
        <v>40</v>
      </c>
      <c r="G346" s="3">
        <v>80</v>
      </c>
      <c r="H346" s="3">
        <v>0.03</v>
      </c>
      <c r="I346" s="3">
        <v>2.4</v>
      </c>
      <c r="J346" s="3" t="s">
        <v>25</v>
      </c>
    </row>
    <row r="347" spans="1:10" x14ac:dyDescent="0.35">
      <c r="A347" s="3" t="s">
        <v>377</v>
      </c>
      <c r="B347" s="4">
        <v>43284</v>
      </c>
      <c r="C347" s="3" t="s">
        <v>30</v>
      </c>
      <c r="D347" s="3" t="s">
        <v>24</v>
      </c>
      <c r="E347" s="3">
        <v>17</v>
      </c>
      <c r="F347" s="3">
        <v>16</v>
      </c>
      <c r="G347" s="3">
        <v>272</v>
      </c>
      <c r="H347" s="3">
        <v>0.05</v>
      </c>
      <c r="I347" s="3">
        <v>13.600000000000001</v>
      </c>
      <c r="J347" s="3" t="s">
        <v>28</v>
      </c>
    </row>
    <row r="348" spans="1:10" x14ac:dyDescent="0.35">
      <c r="A348" s="3" t="s">
        <v>378</v>
      </c>
      <c r="B348" s="4">
        <v>43284</v>
      </c>
      <c r="C348" s="3" t="s">
        <v>15</v>
      </c>
      <c r="D348" s="3" t="s">
        <v>12</v>
      </c>
      <c r="E348" s="3">
        <v>18</v>
      </c>
      <c r="F348" s="3">
        <v>40</v>
      </c>
      <c r="G348" s="3">
        <v>720</v>
      </c>
      <c r="H348" s="3">
        <v>0.06</v>
      </c>
      <c r="I348" s="3">
        <v>43.199999999999996</v>
      </c>
      <c r="J348" s="3" t="s">
        <v>32</v>
      </c>
    </row>
    <row r="349" spans="1:10" x14ac:dyDescent="0.35">
      <c r="A349" s="3" t="s">
        <v>379</v>
      </c>
      <c r="B349" s="4">
        <v>43284</v>
      </c>
      <c r="C349" s="3" t="s">
        <v>15</v>
      </c>
      <c r="D349" s="3" t="s">
        <v>12</v>
      </c>
      <c r="E349" s="3">
        <v>9</v>
      </c>
      <c r="F349" s="3">
        <v>40</v>
      </c>
      <c r="G349" s="3">
        <v>360</v>
      </c>
      <c r="H349" s="3">
        <v>0.01</v>
      </c>
      <c r="I349" s="3">
        <v>3.6</v>
      </c>
      <c r="J349" s="3" t="s">
        <v>35</v>
      </c>
    </row>
    <row r="350" spans="1:10" x14ac:dyDescent="0.35">
      <c r="A350" s="3" t="s">
        <v>380</v>
      </c>
      <c r="B350" s="4">
        <v>43284</v>
      </c>
      <c r="C350" s="3" t="s">
        <v>15</v>
      </c>
      <c r="D350" s="3" t="s">
        <v>16</v>
      </c>
      <c r="E350" s="3">
        <v>7</v>
      </c>
      <c r="F350" s="3">
        <v>40</v>
      </c>
      <c r="G350" s="3">
        <v>280</v>
      </c>
      <c r="H350" s="3">
        <v>0.01</v>
      </c>
      <c r="I350" s="3">
        <v>2.8000000000000003</v>
      </c>
      <c r="J350" s="3" t="s">
        <v>37</v>
      </c>
    </row>
    <row r="351" spans="1:10" x14ac:dyDescent="0.35">
      <c r="A351" s="3" t="s">
        <v>381</v>
      </c>
      <c r="B351" s="4">
        <v>43284</v>
      </c>
      <c r="C351" s="3" t="s">
        <v>19</v>
      </c>
      <c r="D351" s="3" t="s">
        <v>24</v>
      </c>
      <c r="E351" s="3">
        <v>12</v>
      </c>
      <c r="F351" s="3">
        <v>230</v>
      </c>
      <c r="G351" s="3">
        <v>2760</v>
      </c>
      <c r="H351" s="3">
        <v>0.06</v>
      </c>
      <c r="I351" s="3">
        <v>165.6</v>
      </c>
      <c r="J351" s="3" t="s">
        <v>39</v>
      </c>
    </row>
    <row r="352" spans="1:10" x14ac:dyDescent="0.35">
      <c r="A352" s="3" t="s">
        <v>382</v>
      </c>
      <c r="B352" s="4">
        <v>43284</v>
      </c>
      <c r="C352" s="3" t="s">
        <v>30</v>
      </c>
      <c r="D352" s="3" t="s">
        <v>16</v>
      </c>
      <c r="E352" s="3">
        <v>22</v>
      </c>
      <c r="F352" s="3">
        <v>16</v>
      </c>
      <c r="G352" s="3">
        <v>352</v>
      </c>
      <c r="H352" s="3">
        <v>0.04</v>
      </c>
      <c r="I352" s="3">
        <v>14.08</v>
      </c>
      <c r="J352" s="3" t="s">
        <v>13</v>
      </c>
    </row>
    <row r="353" spans="1:10" x14ac:dyDescent="0.35">
      <c r="A353" s="3" t="s">
        <v>383</v>
      </c>
      <c r="B353" s="4">
        <v>43285</v>
      </c>
      <c r="C353" s="3" t="s">
        <v>34</v>
      </c>
      <c r="D353" s="3" t="s">
        <v>12</v>
      </c>
      <c r="E353" s="3">
        <v>5</v>
      </c>
      <c r="F353" s="3">
        <v>150</v>
      </c>
      <c r="G353" s="3">
        <v>750</v>
      </c>
      <c r="H353" s="3">
        <v>0.11</v>
      </c>
      <c r="I353" s="3">
        <v>82.5</v>
      </c>
      <c r="J353" s="3" t="s">
        <v>17</v>
      </c>
    </row>
    <row r="354" spans="1:10" x14ac:dyDescent="0.35">
      <c r="A354" s="3" t="s">
        <v>384</v>
      </c>
      <c r="B354" s="4">
        <v>43285</v>
      </c>
      <c r="C354" s="3" t="s">
        <v>11</v>
      </c>
      <c r="D354" s="3" t="s">
        <v>16</v>
      </c>
      <c r="E354" s="3">
        <v>14</v>
      </c>
      <c r="F354" s="3">
        <v>80</v>
      </c>
      <c r="G354" s="3">
        <v>1120</v>
      </c>
      <c r="H354" s="3">
        <v>0.11</v>
      </c>
      <c r="I354" s="3">
        <v>123.2</v>
      </c>
      <c r="J354" s="3" t="s">
        <v>20</v>
      </c>
    </row>
    <row r="355" spans="1:10" x14ac:dyDescent="0.35">
      <c r="A355" s="3" t="s">
        <v>385</v>
      </c>
      <c r="B355" s="4">
        <v>43285</v>
      </c>
      <c r="C355" s="3" t="s">
        <v>30</v>
      </c>
      <c r="D355" s="3" t="s">
        <v>24</v>
      </c>
      <c r="E355" s="3">
        <v>8</v>
      </c>
      <c r="F355" s="3">
        <v>16</v>
      </c>
      <c r="G355" s="3">
        <v>128</v>
      </c>
      <c r="H355" s="3">
        <v>0.03</v>
      </c>
      <c r="I355" s="3">
        <v>3.84</v>
      </c>
      <c r="J355" s="3" t="s">
        <v>22</v>
      </c>
    </row>
    <row r="356" spans="1:10" x14ac:dyDescent="0.35">
      <c r="A356" s="3" t="s">
        <v>386</v>
      </c>
      <c r="B356" s="4">
        <v>43285</v>
      </c>
      <c r="C356" s="3" t="s">
        <v>19</v>
      </c>
      <c r="D356" s="3" t="s">
        <v>24</v>
      </c>
      <c r="E356" s="3">
        <v>6</v>
      </c>
      <c r="F356" s="3">
        <v>230</v>
      </c>
      <c r="G356" s="3">
        <v>1380</v>
      </c>
      <c r="H356" s="3">
        <v>0.05</v>
      </c>
      <c r="I356" s="3">
        <v>69</v>
      </c>
      <c r="J356" s="3" t="s">
        <v>25</v>
      </c>
    </row>
    <row r="357" spans="1:10" x14ac:dyDescent="0.35">
      <c r="A357" s="3" t="s">
        <v>387</v>
      </c>
      <c r="B357" s="4">
        <v>43285</v>
      </c>
      <c r="C357" s="3" t="s">
        <v>30</v>
      </c>
      <c r="D357" s="3" t="s">
        <v>27</v>
      </c>
      <c r="E357" s="3">
        <v>7</v>
      </c>
      <c r="F357" s="3">
        <v>16</v>
      </c>
      <c r="G357" s="3">
        <v>112</v>
      </c>
      <c r="H357" s="3">
        <v>0.08</v>
      </c>
      <c r="I357" s="3">
        <v>8.9600000000000009</v>
      </c>
      <c r="J357" s="3" t="s">
        <v>28</v>
      </c>
    </row>
    <row r="358" spans="1:10" x14ac:dyDescent="0.35">
      <c r="A358" s="3" t="s">
        <v>388</v>
      </c>
      <c r="B358" s="4">
        <v>43285</v>
      </c>
      <c r="C358" s="3" t="s">
        <v>11</v>
      </c>
      <c r="D358" s="3" t="s">
        <v>16</v>
      </c>
      <c r="E358" s="3">
        <v>16</v>
      </c>
      <c r="F358" s="3">
        <v>80</v>
      </c>
      <c r="G358" s="3">
        <v>1280</v>
      </c>
      <c r="H358" s="3">
        <v>0.04</v>
      </c>
      <c r="I358" s="3">
        <v>51.2</v>
      </c>
      <c r="J358" s="3" t="s">
        <v>32</v>
      </c>
    </row>
    <row r="359" spans="1:10" x14ac:dyDescent="0.35">
      <c r="A359" s="3" t="s">
        <v>389</v>
      </c>
      <c r="B359" s="4">
        <v>43285</v>
      </c>
      <c r="C359" s="3" t="s">
        <v>34</v>
      </c>
      <c r="D359" s="3" t="s">
        <v>12</v>
      </c>
      <c r="E359" s="3">
        <v>17</v>
      </c>
      <c r="F359" s="3">
        <v>150</v>
      </c>
      <c r="G359" s="3">
        <v>2550</v>
      </c>
      <c r="H359" s="3">
        <v>0.12</v>
      </c>
      <c r="I359" s="3">
        <v>306</v>
      </c>
      <c r="J359" s="3" t="s">
        <v>35</v>
      </c>
    </row>
    <row r="360" spans="1:10" x14ac:dyDescent="0.35">
      <c r="A360" s="3" t="s">
        <v>390</v>
      </c>
      <c r="B360" s="4">
        <v>43285</v>
      </c>
      <c r="C360" s="3" t="s">
        <v>30</v>
      </c>
      <c r="D360" s="3" t="s">
        <v>16</v>
      </c>
      <c r="E360" s="3">
        <v>7</v>
      </c>
      <c r="F360" s="3">
        <v>16</v>
      </c>
      <c r="G360" s="3">
        <v>112</v>
      </c>
      <c r="H360" s="3">
        <v>0.08</v>
      </c>
      <c r="I360" s="3">
        <v>8.9600000000000009</v>
      </c>
      <c r="J360" s="3" t="s">
        <v>37</v>
      </c>
    </row>
    <row r="361" spans="1:10" x14ac:dyDescent="0.35">
      <c r="A361" s="3" t="s">
        <v>391</v>
      </c>
      <c r="B361" s="4">
        <v>43286</v>
      </c>
      <c r="C361" s="3" t="s">
        <v>30</v>
      </c>
      <c r="D361" s="3" t="s">
        <v>12</v>
      </c>
      <c r="E361" s="3">
        <v>21</v>
      </c>
      <c r="F361" s="3">
        <v>16</v>
      </c>
      <c r="G361" s="3">
        <v>336</v>
      </c>
      <c r="H361" s="3">
        <v>0.09</v>
      </c>
      <c r="I361" s="3">
        <v>30.24</v>
      </c>
      <c r="J361" s="3" t="s">
        <v>39</v>
      </c>
    </row>
    <row r="362" spans="1:10" x14ac:dyDescent="0.35">
      <c r="A362" s="3" t="s">
        <v>392</v>
      </c>
      <c r="B362" s="4">
        <v>43286</v>
      </c>
      <c r="C362" s="3" t="s">
        <v>30</v>
      </c>
      <c r="D362" s="3" t="s">
        <v>24</v>
      </c>
      <c r="E362" s="3">
        <v>23</v>
      </c>
      <c r="F362" s="3">
        <v>16</v>
      </c>
      <c r="G362" s="3">
        <v>368</v>
      </c>
      <c r="H362" s="3">
        <v>0.11</v>
      </c>
      <c r="I362" s="3">
        <v>40.479999999999997</v>
      </c>
      <c r="J362" s="3" t="s">
        <v>41</v>
      </c>
    </row>
    <row r="363" spans="1:10" x14ac:dyDescent="0.35">
      <c r="A363" s="3" t="s">
        <v>393</v>
      </c>
      <c r="B363" s="4">
        <v>43286</v>
      </c>
      <c r="C363" s="3" t="s">
        <v>34</v>
      </c>
      <c r="D363" s="3" t="s">
        <v>24</v>
      </c>
      <c r="E363" s="3">
        <v>2</v>
      </c>
      <c r="F363" s="3">
        <v>150</v>
      </c>
      <c r="G363" s="3">
        <v>300</v>
      </c>
      <c r="H363" s="3">
        <v>0.02</v>
      </c>
      <c r="I363" s="3">
        <v>6</v>
      </c>
      <c r="J363" s="3" t="s">
        <v>43</v>
      </c>
    </row>
    <row r="364" spans="1:10" x14ac:dyDescent="0.35">
      <c r="A364" s="3" t="s">
        <v>394</v>
      </c>
      <c r="B364" s="4">
        <v>43286</v>
      </c>
      <c r="C364" s="3" t="s">
        <v>34</v>
      </c>
      <c r="D364" s="3" t="s">
        <v>12</v>
      </c>
      <c r="E364" s="3">
        <v>22</v>
      </c>
      <c r="F364" s="3">
        <v>150</v>
      </c>
      <c r="G364" s="3">
        <v>3300</v>
      </c>
      <c r="H364" s="3">
        <v>7.0000000000000007E-2</v>
      </c>
      <c r="I364" s="3">
        <v>231.00000000000003</v>
      </c>
      <c r="J364" s="3" t="s">
        <v>13</v>
      </c>
    </row>
    <row r="365" spans="1:10" x14ac:dyDescent="0.35">
      <c r="A365" s="3" t="s">
        <v>395</v>
      </c>
      <c r="B365" s="4">
        <v>43286</v>
      </c>
      <c r="C365" s="3" t="s">
        <v>15</v>
      </c>
      <c r="D365" s="3" t="s">
        <v>27</v>
      </c>
      <c r="E365" s="3">
        <v>22</v>
      </c>
      <c r="F365" s="3">
        <v>40</v>
      </c>
      <c r="G365" s="3">
        <v>880</v>
      </c>
      <c r="H365" s="3">
        <v>0.01</v>
      </c>
      <c r="I365" s="3">
        <v>8.8000000000000007</v>
      </c>
      <c r="J365" s="3" t="s">
        <v>17</v>
      </c>
    </row>
    <row r="366" spans="1:10" x14ac:dyDescent="0.35">
      <c r="A366" s="3" t="s">
        <v>396</v>
      </c>
      <c r="B366" s="4">
        <v>43286</v>
      </c>
      <c r="C366" s="3" t="s">
        <v>11</v>
      </c>
      <c r="D366" s="3" t="s">
        <v>16</v>
      </c>
      <c r="E366" s="3">
        <v>10</v>
      </c>
      <c r="F366" s="3">
        <v>80</v>
      </c>
      <c r="G366" s="3">
        <v>800</v>
      </c>
      <c r="H366" s="3">
        <v>0.11</v>
      </c>
      <c r="I366" s="3">
        <v>88</v>
      </c>
      <c r="J366" s="3" t="s">
        <v>20</v>
      </c>
    </row>
    <row r="367" spans="1:10" x14ac:dyDescent="0.35">
      <c r="A367" s="3" t="s">
        <v>397</v>
      </c>
      <c r="B367" s="4">
        <v>43286</v>
      </c>
      <c r="C367" s="3" t="s">
        <v>11</v>
      </c>
      <c r="D367" s="3" t="s">
        <v>31</v>
      </c>
      <c r="E367" s="3">
        <v>13</v>
      </c>
      <c r="F367" s="3">
        <v>80</v>
      </c>
      <c r="G367" s="3">
        <v>1040</v>
      </c>
      <c r="H367" s="3">
        <v>0.05</v>
      </c>
      <c r="I367" s="3">
        <v>52</v>
      </c>
      <c r="J367" s="3" t="s">
        <v>22</v>
      </c>
    </row>
    <row r="368" spans="1:10" x14ac:dyDescent="0.35">
      <c r="A368" s="3" t="s">
        <v>398</v>
      </c>
      <c r="B368" s="4">
        <v>43286</v>
      </c>
      <c r="C368" s="3" t="s">
        <v>19</v>
      </c>
      <c r="D368" s="3" t="s">
        <v>27</v>
      </c>
      <c r="E368" s="3">
        <v>11</v>
      </c>
      <c r="F368" s="3">
        <v>230</v>
      </c>
      <c r="G368" s="3">
        <v>2530</v>
      </c>
      <c r="H368" s="3">
        <v>0.12</v>
      </c>
      <c r="I368" s="3">
        <v>303.59999999999997</v>
      </c>
      <c r="J368" s="3" t="s">
        <v>25</v>
      </c>
    </row>
    <row r="369" spans="1:10" x14ac:dyDescent="0.35">
      <c r="A369" s="3" t="s">
        <v>399</v>
      </c>
      <c r="B369" s="4">
        <v>43286</v>
      </c>
      <c r="C369" s="3" t="s">
        <v>19</v>
      </c>
      <c r="D369" s="3" t="s">
        <v>12</v>
      </c>
      <c r="E369" s="3">
        <v>9</v>
      </c>
      <c r="F369" s="3">
        <v>230</v>
      </c>
      <c r="G369" s="3">
        <v>2070</v>
      </c>
      <c r="H369" s="3">
        <v>7.0000000000000007E-2</v>
      </c>
      <c r="I369" s="3">
        <v>144.9</v>
      </c>
      <c r="J369" s="3" t="s">
        <v>28</v>
      </c>
    </row>
    <row r="370" spans="1:10" x14ac:dyDescent="0.35">
      <c r="A370" s="3" t="s">
        <v>400</v>
      </c>
      <c r="B370" s="4">
        <v>43286</v>
      </c>
      <c r="C370" s="3" t="s">
        <v>19</v>
      </c>
      <c r="D370" s="3" t="s">
        <v>27</v>
      </c>
      <c r="E370" s="3">
        <v>16</v>
      </c>
      <c r="F370" s="3">
        <v>230</v>
      </c>
      <c r="G370" s="3">
        <v>3680</v>
      </c>
      <c r="H370" s="3">
        <v>0.11</v>
      </c>
      <c r="I370" s="3">
        <v>404.8</v>
      </c>
      <c r="J370" s="3" t="s">
        <v>32</v>
      </c>
    </row>
    <row r="371" spans="1:10" x14ac:dyDescent="0.35">
      <c r="A371" s="3" t="s">
        <v>401</v>
      </c>
      <c r="B371" s="4">
        <v>43286</v>
      </c>
      <c r="C371" s="3" t="s">
        <v>19</v>
      </c>
      <c r="D371" s="3" t="s">
        <v>27</v>
      </c>
      <c r="E371" s="3">
        <v>18</v>
      </c>
      <c r="F371" s="3">
        <v>230</v>
      </c>
      <c r="G371" s="3">
        <v>4140</v>
      </c>
      <c r="H371" s="3">
        <v>0.01</v>
      </c>
      <c r="I371" s="3">
        <v>41.4</v>
      </c>
      <c r="J371" s="3" t="s">
        <v>35</v>
      </c>
    </row>
    <row r="372" spans="1:10" x14ac:dyDescent="0.35">
      <c r="A372" s="3" t="s">
        <v>402</v>
      </c>
      <c r="B372" s="4">
        <v>43286</v>
      </c>
      <c r="C372" s="3" t="s">
        <v>30</v>
      </c>
      <c r="D372" s="3" t="s">
        <v>16</v>
      </c>
      <c r="E372" s="3">
        <v>15</v>
      </c>
      <c r="F372" s="3">
        <v>16</v>
      </c>
      <c r="G372" s="3">
        <v>240</v>
      </c>
      <c r="H372" s="3">
        <v>0.02</v>
      </c>
      <c r="I372" s="3">
        <v>4.8</v>
      </c>
      <c r="J372" s="3" t="s">
        <v>37</v>
      </c>
    </row>
    <row r="373" spans="1:10" x14ac:dyDescent="0.35">
      <c r="A373" s="3" t="s">
        <v>403</v>
      </c>
      <c r="B373" s="4">
        <v>43286</v>
      </c>
      <c r="C373" s="3" t="s">
        <v>15</v>
      </c>
      <c r="D373" s="3" t="s">
        <v>31</v>
      </c>
      <c r="E373" s="3">
        <v>18</v>
      </c>
      <c r="F373" s="3">
        <v>40</v>
      </c>
      <c r="G373" s="3">
        <v>720</v>
      </c>
      <c r="H373" s="3">
        <v>0.06</v>
      </c>
      <c r="I373" s="3">
        <v>43.199999999999996</v>
      </c>
      <c r="J373" s="3" t="s">
        <v>39</v>
      </c>
    </row>
    <row r="374" spans="1:10" x14ac:dyDescent="0.35">
      <c r="A374" s="3" t="s">
        <v>404</v>
      </c>
      <c r="B374" s="4">
        <v>43286</v>
      </c>
      <c r="C374" s="3" t="s">
        <v>15</v>
      </c>
      <c r="D374" s="3" t="s">
        <v>27</v>
      </c>
      <c r="E374" s="3">
        <v>18</v>
      </c>
      <c r="F374" s="3">
        <v>40</v>
      </c>
      <c r="G374" s="3">
        <v>720</v>
      </c>
      <c r="H374" s="3">
        <v>0.04</v>
      </c>
      <c r="I374" s="3">
        <v>28.8</v>
      </c>
      <c r="J374" s="3" t="s">
        <v>41</v>
      </c>
    </row>
    <row r="375" spans="1:10" x14ac:dyDescent="0.35">
      <c r="A375" s="3" t="s">
        <v>405</v>
      </c>
      <c r="B375" s="4">
        <v>43286</v>
      </c>
      <c r="C375" s="3" t="s">
        <v>30</v>
      </c>
      <c r="D375" s="3" t="s">
        <v>27</v>
      </c>
      <c r="E375" s="3">
        <v>22</v>
      </c>
      <c r="F375" s="3">
        <v>16</v>
      </c>
      <c r="G375" s="3">
        <v>352</v>
      </c>
      <c r="H375" s="3">
        <v>0.03</v>
      </c>
      <c r="I375" s="3">
        <v>10.559999999999999</v>
      </c>
      <c r="J375" s="3" t="s">
        <v>43</v>
      </c>
    </row>
    <row r="376" spans="1:10" x14ac:dyDescent="0.35">
      <c r="A376" s="3" t="s">
        <v>406</v>
      </c>
      <c r="B376" s="4">
        <v>43286</v>
      </c>
      <c r="C376" s="3" t="s">
        <v>30</v>
      </c>
      <c r="D376" s="3" t="s">
        <v>24</v>
      </c>
      <c r="E376" s="3">
        <v>12</v>
      </c>
      <c r="F376" s="3">
        <v>16</v>
      </c>
      <c r="G376" s="3">
        <v>192</v>
      </c>
      <c r="H376" s="3">
        <v>0.11</v>
      </c>
      <c r="I376" s="3">
        <v>21.12</v>
      </c>
      <c r="J376" s="3" t="s">
        <v>13</v>
      </c>
    </row>
    <row r="377" spans="1:10" x14ac:dyDescent="0.35">
      <c r="A377" s="3" t="s">
        <v>407</v>
      </c>
      <c r="B377" s="4">
        <v>43287</v>
      </c>
      <c r="C377" s="3" t="s">
        <v>11</v>
      </c>
      <c r="D377" s="3" t="s">
        <v>12</v>
      </c>
      <c r="E377" s="3">
        <v>20</v>
      </c>
      <c r="F377" s="3">
        <v>80</v>
      </c>
      <c r="G377" s="3">
        <v>1600</v>
      </c>
      <c r="H377" s="3">
        <v>0.01</v>
      </c>
      <c r="I377" s="3">
        <v>16</v>
      </c>
      <c r="J377" s="3" t="s">
        <v>17</v>
      </c>
    </row>
    <row r="378" spans="1:10" x14ac:dyDescent="0.35">
      <c r="A378" s="3" t="s">
        <v>408</v>
      </c>
      <c r="B378" s="4">
        <v>43287</v>
      </c>
      <c r="C378" s="3" t="s">
        <v>19</v>
      </c>
      <c r="D378" s="3" t="s">
        <v>24</v>
      </c>
      <c r="E378" s="3">
        <v>10</v>
      </c>
      <c r="F378" s="3">
        <v>230</v>
      </c>
      <c r="G378" s="3">
        <v>2300</v>
      </c>
      <c r="H378" s="3">
        <v>0.02</v>
      </c>
      <c r="I378" s="3">
        <v>46</v>
      </c>
      <c r="J378" s="3" t="s">
        <v>20</v>
      </c>
    </row>
    <row r="379" spans="1:10" x14ac:dyDescent="0.35">
      <c r="A379" s="3" t="s">
        <v>409</v>
      </c>
      <c r="B379" s="4">
        <v>43287</v>
      </c>
      <c r="C379" s="3" t="s">
        <v>19</v>
      </c>
      <c r="D379" s="3" t="s">
        <v>16</v>
      </c>
      <c r="E379" s="3">
        <v>9</v>
      </c>
      <c r="F379" s="3">
        <v>230</v>
      </c>
      <c r="G379" s="3">
        <v>2070</v>
      </c>
      <c r="H379" s="3">
        <v>0.03</v>
      </c>
      <c r="I379" s="3">
        <v>62.099999999999994</v>
      </c>
      <c r="J379" s="3" t="s">
        <v>22</v>
      </c>
    </row>
    <row r="380" spans="1:10" x14ac:dyDescent="0.35">
      <c r="A380" s="3" t="s">
        <v>410</v>
      </c>
      <c r="B380" s="4">
        <v>43287</v>
      </c>
      <c r="C380" s="3" t="s">
        <v>11</v>
      </c>
      <c r="D380" s="3" t="s">
        <v>16</v>
      </c>
      <c r="E380" s="3">
        <v>17</v>
      </c>
      <c r="F380" s="3">
        <v>80</v>
      </c>
      <c r="G380" s="3">
        <v>1360</v>
      </c>
      <c r="H380" s="3">
        <v>0.03</v>
      </c>
      <c r="I380" s="3">
        <v>40.799999999999997</v>
      </c>
      <c r="J380" s="3" t="s">
        <v>25</v>
      </c>
    </row>
    <row r="381" spans="1:10" x14ac:dyDescent="0.35">
      <c r="A381" s="3" t="s">
        <v>411</v>
      </c>
      <c r="B381" s="4">
        <v>43287</v>
      </c>
      <c r="C381" s="3" t="s">
        <v>15</v>
      </c>
      <c r="D381" s="3" t="s">
        <v>31</v>
      </c>
      <c r="E381" s="3">
        <v>4</v>
      </c>
      <c r="F381" s="3">
        <v>40</v>
      </c>
      <c r="G381" s="3">
        <v>160</v>
      </c>
      <c r="H381" s="3">
        <v>0.09</v>
      </c>
      <c r="I381" s="3">
        <v>14.399999999999999</v>
      </c>
      <c r="J381" s="3" t="s">
        <v>28</v>
      </c>
    </row>
    <row r="382" spans="1:10" x14ac:dyDescent="0.35">
      <c r="A382" s="3" t="s">
        <v>412</v>
      </c>
      <c r="B382" s="4">
        <v>43287</v>
      </c>
      <c r="C382" s="3" t="s">
        <v>34</v>
      </c>
      <c r="D382" s="3" t="s">
        <v>16</v>
      </c>
      <c r="E382" s="3">
        <v>16</v>
      </c>
      <c r="F382" s="3">
        <v>150</v>
      </c>
      <c r="G382" s="3">
        <v>2400</v>
      </c>
      <c r="H382" s="3">
        <v>0.03</v>
      </c>
      <c r="I382" s="3">
        <v>72</v>
      </c>
      <c r="J382" s="3" t="s">
        <v>32</v>
      </c>
    </row>
    <row r="383" spans="1:10" x14ac:dyDescent="0.35">
      <c r="A383" s="3" t="s">
        <v>413</v>
      </c>
      <c r="B383" s="4">
        <v>43287</v>
      </c>
      <c r="C383" s="3" t="s">
        <v>11</v>
      </c>
      <c r="D383" s="3" t="s">
        <v>24</v>
      </c>
      <c r="E383" s="3">
        <v>8</v>
      </c>
      <c r="F383" s="3">
        <v>80</v>
      </c>
      <c r="G383" s="3">
        <v>640</v>
      </c>
      <c r="H383" s="3">
        <v>0.02</v>
      </c>
      <c r="I383" s="3">
        <v>12.8</v>
      </c>
      <c r="J383" s="3" t="s">
        <v>35</v>
      </c>
    </row>
    <row r="384" spans="1:10" x14ac:dyDescent="0.35">
      <c r="A384" s="3" t="s">
        <v>414</v>
      </c>
      <c r="B384" s="4">
        <v>43287</v>
      </c>
      <c r="C384" s="3" t="s">
        <v>15</v>
      </c>
      <c r="D384" s="3" t="s">
        <v>27</v>
      </c>
      <c r="E384" s="3">
        <v>23</v>
      </c>
      <c r="F384" s="3">
        <v>40</v>
      </c>
      <c r="G384" s="3">
        <v>920</v>
      </c>
      <c r="H384" s="3">
        <v>0.06</v>
      </c>
      <c r="I384" s="3">
        <v>55.199999999999996</v>
      </c>
      <c r="J384" s="3" t="s">
        <v>37</v>
      </c>
    </row>
    <row r="385" spans="1:10" x14ac:dyDescent="0.35">
      <c r="A385" s="3" t="s">
        <v>415</v>
      </c>
      <c r="B385" s="4">
        <v>43288</v>
      </c>
      <c r="C385" s="3" t="s">
        <v>34</v>
      </c>
      <c r="D385" s="3" t="s">
        <v>27</v>
      </c>
      <c r="E385" s="3">
        <v>20</v>
      </c>
      <c r="F385" s="3">
        <v>150</v>
      </c>
      <c r="G385" s="3">
        <v>3000</v>
      </c>
      <c r="H385" s="3">
        <v>0.1</v>
      </c>
      <c r="I385" s="3">
        <v>300</v>
      </c>
      <c r="J385" s="3" t="s">
        <v>39</v>
      </c>
    </row>
    <row r="386" spans="1:10" x14ac:dyDescent="0.35">
      <c r="A386" s="3" t="s">
        <v>416</v>
      </c>
      <c r="B386" s="4">
        <v>43288</v>
      </c>
      <c r="C386" s="3" t="s">
        <v>19</v>
      </c>
      <c r="D386" s="3" t="s">
        <v>31</v>
      </c>
      <c r="E386" s="3">
        <v>22</v>
      </c>
      <c r="F386" s="3">
        <v>230</v>
      </c>
      <c r="G386" s="3">
        <v>5060</v>
      </c>
      <c r="H386" s="3">
        <v>0.1</v>
      </c>
      <c r="I386" s="3">
        <v>506</v>
      </c>
      <c r="J386" s="3" t="s">
        <v>41</v>
      </c>
    </row>
    <row r="387" spans="1:10" x14ac:dyDescent="0.35">
      <c r="A387" s="3" t="s">
        <v>417</v>
      </c>
      <c r="B387" s="4">
        <v>43288</v>
      </c>
      <c r="C387" s="3" t="s">
        <v>19</v>
      </c>
      <c r="D387" s="3" t="s">
        <v>16</v>
      </c>
      <c r="E387" s="3">
        <v>6</v>
      </c>
      <c r="F387" s="3">
        <v>230</v>
      </c>
      <c r="G387" s="3">
        <v>1380</v>
      </c>
      <c r="H387" s="3">
        <v>0.1</v>
      </c>
      <c r="I387" s="3">
        <v>138</v>
      </c>
      <c r="J387" s="3" t="s">
        <v>43</v>
      </c>
    </row>
    <row r="388" spans="1:10" x14ac:dyDescent="0.35">
      <c r="A388" s="3" t="s">
        <v>418</v>
      </c>
      <c r="B388" s="4">
        <v>43288</v>
      </c>
      <c r="C388" s="3" t="s">
        <v>11</v>
      </c>
      <c r="D388" s="3" t="s">
        <v>27</v>
      </c>
      <c r="E388" s="3">
        <v>10</v>
      </c>
      <c r="F388" s="3">
        <v>80</v>
      </c>
      <c r="G388" s="3">
        <v>800</v>
      </c>
      <c r="H388" s="3">
        <v>0.1</v>
      </c>
      <c r="I388" s="3">
        <v>80</v>
      </c>
      <c r="J388" s="3" t="s">
        <v>13</v>
      </c>
    </row>
    <row r="389" spans="1:10" x14ac:dyDescent="0.35">
      <c r="A389" s="3" t="s">
        <v>419</v>
      </c>
      <c r="B389" s="4">
        <v>43288</v>
      </c>
      <c r="C389" s="3" t="s">
        <v>19</v>
      </c>
      <c r="D389" s="3" t="s">
        <v>31</v>
      </c>
      <c r="E389" s="3">
        <v>21</v>
      </c>
      <c r="F389" s="3">
        <v>230</v>
      </c>
      <c r="G389" s="3">
        <v>4830</v>
      </c>
      <c r="H389" s="3">
        <v>0.05</v>
      </c>
      <c r="I389" s="3">
        <v>241.5</v>
      </c>
      <c r="J389" s="3" t="s">
        <v>17</v>
      </c>
    </row>
    <row r="390" spans="1:10" x14ac:dyDescent="0.35">
      <c r="A390" s="3" t="s">
        <v>420</v>
      </c>
      <c r="B390" s="4">
        <v>43288</v>
      </c>
      <c r="C390" s="3" t="s">
        <v>19</v>
      </c>
      <c r="D390" s="3" t="s">
        <v>12</v>
      </c>
      <c r="E390" s="3">
        <v>20</v>
      </c>
      <c r="F390" s="3">
        <v>230</v>
      </c>
      <c r="G390" s="3">
        <v>4600</v>
      </c>
      <c r="H390" s="3">
        <v>0.04</v>
      </c>
      <c r="I390" s="3">
        <v>184</v>
      </c>
      <c r="J390" s="3" t="s">
        <v>20</v>
      </c>
    </row>
    <row r="391" spans="1:10" x14ac:dyDescent="0.35">
      <c r="A391" s="3" t="s">
        <v>421</v>
      </c>
      <c r="B391" s="4">
        <v>43288</v>
      </c>
      <c r="C391" s="3" t="s">
        <v>11</v>
      </c>
      <c r="D391" s="3" t="s">
        <v>24</v>
      </c>
      <c r="E391" s="3">
        <v>20</v>
      </c>
      <c r="F391" s="3">
        <v>80</v>
      </c>
      <c r="G391" s="3">
        <v>1600</v>
      </c>
      <c r="H391" s="3">
        <v>7.0000000000000007E-2</v>
      </c>
      <c r="I391" s="3">
        <v>112.00000000000001</v>
      </c>
      <c r="J391" s="3" t="s">
        <v>22</v>
      </c>
    </row>
    <row r="392" spans="1:10" x14ac:dyDescent="0.35">
      <c r="A392" s="3" t="s">
        <v>422</v>
      </c>
      <c r="B392" s="4">
        <v>43288</v>
      </c>
      <c r="C392" s="3" t="s">
        <v>11</v>
      </c>
      <c r="D392" s="3" t="s">
        <v>24</v>
      </c>
      <c r="E392" s="3">
        <v>7</v>
      </c>
      <c r="F392" s="3">
        <v>80</v>
      </c>
      <c r="G392" s="3">
        <v>560</v>
      </c>
      <c r="H392" s="3">
        <v>0.05</v>
      </c>
      <c r="I392" s="3">
        <v>28</v>
      </c>
      <c r="J392" s="3" t="s">
        <v>25</v>
      </c>
    </row>
    <row r="393" spans="1:10" x14ac:dyDescent="0.35">
      <c r="A393" s="3" t="s">
        <v>423</v>
      </c>
      <c r="B393" s="4">
        <v>43288</v>
      </c>
      <c r="C393" s="3" t="s">
        <v>11</v>
      </c>
      <c r="D393" s="3" t="s">
        <v>12</v>
      </c>
      <c r="E393" s="3">
        <v>8</v>
      </c>
      <c r="F393" s="3">
        <v>80</v>
      </c>
      <c r="G393" s="3">
        <v>640</v>
      </c>
      <c r="H393" s="3">
        <v>0.09</v>
      </c>
      <c r="I393" s="3">
        <v>57.599999999999994</v>
      </c>
      <c r="J393" s="3" t="s">
        <v>28</v>
      </c>
    </row>
    <row r="394" spans="1:10" x14ac:dyDescent="0.35">
      <c r="A394" s="3" t="s">
        <v>424</v>
      </c>
      <c r="B394" s="4">
        <v>43288</v>
      </c>
      <c r="C394" s="3" t="s">
        <v>11</v>
      </c>
      <c r="D394" s="3" t="s">
        <v>16</v>
      </c>
      <c r="E394" s="3">
        <v>3</v>
      </c>
      <c r="F394" s="3">
        <v>80</v>
      </c>
      <c r="G394" s="3">
        <v>240</v>
      </c>
      <c r="H394" s="3">
        <v>0.02</v>
      </c>
      <c r="I394" s="3">
        <v>4.8</v>
      </c>
      <c r="J394" s="3" t="s">
        <v>32</v>
      </c>
    </row>
    <row r="395" spans="1:10" x14ac:dyDescent="0.35">
      <c r="A395" s="3" t="s">
        <v>425</v>
      </c>
      <c r="B395" s="4">
        <v>43288</v>
      </c>
      <c r="C395" s="3" t="s">
        <v>11</v>
      </c>
      <c r="D395" s="3" t="s">
        <v>27</v>
      </c>
      <c r="E395" s="3">
        <v>8</v>
      </c>
      <c r="F395" s="3">
        <v>80</v>
      </c>
      <c r="G395" s="3">
        <v>640</v>
      </c>
      <c r="H395" s="3">
        <v>0.06</v>
      </c>
      <c r="I395" s="3">
        <v>38.4</v>
      </c>
      <c r="J395" s="3" t="s">
        <v>35</v>
      </c>
    </row>
    <row r="396" spans="1:10" x14ac:dyDescent="0.35">
      <c r="A396" s="3" t="s">
        <v>426</v>
      </c>
      <c r="B396" s="4">
        <v>43288</v>
      </c>
      <c r="C396" s="3" t="s">
        <v>34</v>
      </c>
      <c r="D396" s="3" t="s">
        <v>31</v>
      </c>
      <c r="E396" s="3">
        <v>13</v>
      </c>
      <c r="F396" s="3">
        <v>150</v>
      </c>
      <c r="G396" s="3">
        <v>1950</v>
      </c>
      <c r="H396" s="3">
        <v>0.11</v>
      </c>
      <c r="I396" s="3">
        <v>214.5</v>
      </c>
      <c r="J396" s="3" t="s">
        <v>37</v>
      </c>
    </row>
    <row r="397" spans="1:10" x14ac:dyDescent="0.35">
      <c r="A397" s="3" t="s">
        <v>427</v>
      </c>
      <c r="B397" s="4">
        <v>43288</v>
      </c>
      <c r="C397" s="3" t="s">
        <v>11</v>
      </c>
      <c r="D397" s="3" t="s">
        <v>27</v>
      </c>
      <c r="E397" s="3">
        <v>15</v>
      </c>
      <c r="F397" s="3">
        <v>80</v>
      </c>
      <c r="G397" s="3">
        <v>1200</v>
      </c>
      <c r="H397" s="3">
        <v>0.08</v>
      </c>
      <c r="I397" s="3">
        <v>96</v>
      </c>
      <c r="J397" s="3" t="s">
        <v>39</v>
      </c>
    </row>
    <row r="398" spans="1:10" x14ac:dyDescent="0.35">
      <c r="A398" s="3" t="s">
        <v>428</v>
      </c>
      <c r="B398" s="4">
        <v>43288</v>
      </c>
      <c r="C398" s="3" t="s">
        <v>34</v>
      </c>
      <c r="D398" s="3" t="s">
        <v>31</v>
      </c>
      <c r="E398" s="3">
        <v>7</v>
      </c>
      <c r="F398" s="3">
        <v>150</v>
      </c>
      <c r="G398" s="3">
        <v>1050</v>
      </c>
      <c r="H398" s="3">
        <v>0.02</v>
      </c>
      <c r="I398" s="3">
        <v>21</v>
      </c>
      <c r="J398" s="3" t="s">
        <v>41</v>
      </c>
    </row>
    <row r="399" spans="1:10" x14ac:dyDescent="0.35">
      <c r="A399" s="3" t="s">
        <v>429</v>
      </c>
      <c r="B399" s="4">
        <v>43288</v>
      </c>
      <c r="C399" s="3" t="s">
        <v>15</v>
      </c>
      <c r="D399" s="3" t="s">
        <v>24</v>
      </c>
      <c r="E399" s="3">
        <v>6</v>
      </c>
      <c r="F399" s="3">
        <v>40</v>
      </c>
      <c r="G399" s="3">
        <v>240</v>
      </c>
      <c r="H399" s="3">
        <v>0.06</v>
      </c>
      <c r="I399" s="3">
        <v>14.399999999999999</v>
      </c>
      <c r="J399" s="3" t="s">
        <v>43</v>
      </c>
    </row>
    <row r="400" spans="1:10" x14ac:dyDescent="0.35">
      <c r="A400" s="3" t="s">
        <v>430</v>
      </c>
      <c r="B400" s="4">
        <v>43288</v>
      </c>
      <c r="C400" s="3" t="s">
        <v>11</v>
      </c>
      <c r="D400" s="3" t="s">
        <v>27</v>
      </c>
      <c r="E400" s="3">
        <v>23</v>
      </c>
      <c r="F400" s="3">
        <v>80</v>
      </c>
      <c r="G400" s="3">
        <v>1840</v>
      </c>
      <c r="H400" s="3">
        <v>0.11</v>
      </c>
      <c r="I400" s="3">
        <v>202.4</v>
      </c>
      <c r="J400" s="3" t="s">
        <v>13</v>
      </c>
    </row>
    <row r="401" spans="1:10" x14ac:dyDescent="0.35">
      <c r="A401" s="3" t="s">
        <v>431</v>
      </c>
      <c r="B401" s="4">
        <v>43288</v>
      </c>
      <c r="C401" s="3" t="s">
        <v>19</v>
      </c>
      <c r="D401" s="3" t="s">
        <v>24</v>
      </c>
      <c r="E401" s="3">
        <v>18</v>
      </c>
      <c r="F401" s="3">
        <v>230</v>
      </c>
      <c r="G401" s="3">
        <v>4140</v>
      </c>
      <c r="H401" s="3">
        <v>0.01</v>
      </c>
      <c r="I401" s="3">
        <v>41.4</v>
      </c>
      <c r="J401" s="3" t="s">
        <v>17</v>
      </c>
    </row>
    <row r="402" spans="1:10" x14ac:dyDescent="0.35">
      <c r="A402" s="3" t="s">
        <v>432</v>
      </c>
      <c r="B402" s="4">
        <v>43289</v>
      </c>
      <c r="C402" s="3" t="s">
        <v>11</v>
      </c>
      <c r="D402" s="3" t="s">
        <v>31</v>
      </c>
      <c r="E402" s="3">
        <v>21</v>
      </c>
      <c r="F402" s="3">
        <v>80</v>
      </c>
      <c r="G402" s="3">
        <v>1680</v>
      </c>
      <c r="H402" s="3">
        <v>0.09</v>
      </c>
      <c r="I402" s="3">
        <v>151.19999999999999</v>
      </c>
      <c r="J402" s="3" t="s">
        <v>20</v>
      </c>
    </row>
    <row r="403" spans="1:10" x14ac:dyDescent="0.35">
      <c r="A403" s="3" t="s">
        <v>433</v>
      </c>
      <c r="B403" s="4">
        <v>43289</v>
      </c>
      <c r="C403" s="3" t="s">
        <v>15</v>
      </c>
      <c r="D403" s="3" t="s">
        <v>24</v>
      </c>
      <c r="E403" s="3">
        <v>13</v>
      </c>
      <c r="F403" s="3">
        <v>40</v>
      </c>
      <c r="G403" s="3">
        <v>520</v>
      </c>
      <c r="H403" s="3">
        <v>0.02</v>
      </c>
      <c r="I403" s="3">
        <v>10.4</v>
      </c>
      <c r="J403" s="3" t="s">
        <v>22</v>
      </c>
    </row>
    <row r="404" spans="1:10" x14ac:dyDescent="0.35">
      <c r="A404" s="3" t="s">
        <v>434</v>
      </c>
      <c r="B404" s="4">
        <v>43289</v>
      </c>
      <c r="C404" s="3" t="s">
        <v>11</v>
      </c>
      <c r="D404" s="3" t="s">
        <v>24</v>
      </c>
      <c r="E404" s="3">
        <v>23</v>
      </c>
      <c r="F404" s="3">
        <v>80</v>
      </c>
      <c r="G404" s="3">
        <v>1840</v>
      </c>
      <c r="H404" s="3">
        <v>0.05</v>
      </c>
      <c r="I404" s="3">
        <v>92</v>
      </c>
      <c r="J404" s="3" t="s">
        <v>25</v>
      </c>
    </row>
    <row r="405" spans="1:10" x14ac:dyDescent="0.35">
      <c r="A405" s="3" t="s">
        <v>435</v>
      </c>
      <c r="B405" s="4">
        <v>43289</v>
      </c>
      <c r="C405" s="3" t="s">
        <v>34</v>
      </c>
      <c r="D405" s="3" t="s">
        <v>27</v>
      </c>
      <c r="E405" s="3">
        <v>15</v>
      </c>
      <c r="F405" s="3">
        <v>150</v>
      </c>
      <c r="G405" s="3">
        <v>2250</v>
      </c>
      <c r="H405" s="3">
        <v>0.05</v>
      </c>
      <c r="I405" s="3">
        <v>112.5</v>
      </c>
      <c r="J405" s="3" t="s">
        <v>28</v>
      </c>
    </row>
    <row r="406" spans="1:10" x14ac:dyDescent="0.35">
      <c r="A406" s="3" t="s">
        <v>436</v>
      </c>
      <c r="B406" s="4">
        <v>43289</v>
      </c>
      <c r="C406" s="3" t="s">
        <v>15</v>
      </c>
      <c r="D406" s="3" t="s">
        <v>12</v>
      </c>
      <c r="E406" s="3">
        <v>5</v>
      </c>
      <c r="F406" s="3">
        <v>40</v>
      </c>
      <c r="G406" s="3">
        <v>200</v>
      </c>
      <c r="H406" s="3">
        <v>0.09</v>
      </c>
      <c r="I406" s="3">
        <v>18</v>
      </c>
      <c r="J406" s="3" t="s">
        <v>32</v>
      </c>
    </row>
    <row r="407" spans="1:10" x14ac:dyDescent="0.35">
      <c r="A407" s="3" t="s">
        <v>437</v>
      </c>
      <c r="B407" s="4">
        <v>43289</v>
      </c>
      <c r="C407" s="3" t="s">
        <v>30</v>
      </c>
      <c r="D407" s="3" t="s">
        <v>27</v>
      </c>
      <c r="E407" s="3">
        <v>10</v>
      </c>
      <c r="F407" s="3">
        <v>16</v>
      </c>
      <c r="G407" s="3">
        <v>160</v>
      </c>
      <c r="H407" s="3">
        <v>0.01</v>
      </c>
      <c r="I407" s="3">
        <v>1.6</v>
      </c>
      <c r="J407" s="3" t="s">
        <v>35</v>
      </c>
    </row>
    <row r="408" spans="1:10" x14ac:dyDescent="0.35">
      <c r="A408" s="3" t="s">
        <v>438</v>
      </c>
      <c r="B408" s="4">
        <v>43289</v>
      </c>
      <c r="C408" s="3" t="s">
        <v>19</v>
      </c>
      <c r="D408" s="3" t="s">
        <v>24</v>
      </c>
      <c r="E408" s="3">
        <v>2</v>
      </c>
      <c r="F408" s="3">
        <v>230</v>
      </c>
      <c r="G408" s="3">
        <v>460</v>
      </c>
      <c r="H408" s="3">
        <v>0.09</v>
      </c>
      <c r="I408" s="3">
        <v>41.4</v>
      </c>
      <c r="J408" s="3" t="s">
        <v>37</v>
      </c>
    </row>
    <row r="409" spans="1:10" x14ac:dyDescent="0.35">
      <c r="A409" s="3" t="s">
        <v>439</v>
      </c>
      <c r="B409" s="4">
        <v>43289</v>
      </c>
      <c r="C409" s="3" t="s">
        <v>11</v>
      </c>
      <c r="D409" s="3" t="s">
        <v>27</v>
      </c>
      <c r="E409" s="3">
        <v>7</v>
      </c>
      <c r="F409" s="3">
        <v>80</v>
      </c>
      <c r="G409" s="3">
        <v>560</v>
      </c>
      <c r="H409" s="3">
        <v>0.02</v>
      </c>
      <c r="I409" s="3">
        <v>11.200000000000001</v>
      </c>
      <c r="J409" s="3" t="s">
        <v>39</v>
      </c>
    </row>
    <row r="410" spans="1:10" x14ac:dyDescent="0.35">
      <c r="A410" s="3" t="s">
        <v>440</v>
      </c>
      <c r="B410" s="4">
        <v>43289</v>
      </c>
      <c r="C410" s="3" t="s">
        <v>34</v>
      </c>
      <c r="D410" s="3" t="s">
        <v>27</v>
      </c>
      <c r="E410" s="3">
        <v>22</v>
      </c>
      <c r="F410" s="3">
        <v>150</v>
      </c>
      <c r="G410" s="3">
        <v>3300</v>
      </c>
      <c r="H410" s="3">
        <v>0.05</v>
      </c>
      <c r="I410" s="3">
        <v>165</v>
      </c>
      <c r="J410" s="3" t="s">
        <v>41</v>
      </c>
    </row>
    <row r="411" spans="1:10" x14ac:dyDescent="0.35">
      <c r="A411" s="3" t="s">
        <v>441</v>
      </c>
      <c r="B411" s="4">
        <v>43289</v>
      </c>
      <c r="C411" s="3" t="s">
        <v>15</v>
      </c>
      <c r="D411" s="3" t="s">
        <v>31</v>
      </c>
      <c r="E411" s="3">
        <v>17</v>
      </c>
      <c r="F411" s="3">
        <v>40</v>
      </c>
      <c r="G411" s="3">
        <v>680</v>
      </c>
      <c r="H411" s="3">
        <v>0.02</v>
      </c>
      <c r="I411" s="3">
        <v>13.6</v>
      </c>
      <c r="J411" s="3" t="s">
        <v>43</v>
      </c>
    </row>
    <row r="412" spans="1:10" x14ac:dyDescent="0.35">
      <c r="A412" s="3" t="s">
        <v>442</v>
      </c>
      <c r="B412" s="4">
        <v>43289</v>
      </c>
      <c r="C412" s="3" t="s">
        <v>30</v>
      </c>
      <c r="D412" s="3" t="s">
        <v>12</v>
      </c>
      <c r="E412" s="3">
        <v>22</v>
      </c>
      <c r="F412" s="3">
        <v>16</v>
      </c>
      <c r="G412" s="3">
        <v>352</v>
      </c>
      <c r="H412" s="3">
        <v>0.06</v>
      </c>
      <c r="I412" s="3">
        <v>21.119999999999997</v>
      </c>
      <c r="J412" s="3" t="s">
        <v>13</v>
      </c>
    </row>
    <row r="413" spans="1:10" x14ac:dyDescent="0.35">
      <c r="A413" s="3" t="s">
        <v>443</v>
      </c>
      <c r="B413" s="4">
        <v>43289</v>
      </c>
      <c r="C413" s="3" t="s">
        <v>30</v>
      </c>
      <c r="D413" s="3" t="s">
        <v>31</v>
      </c>
      <c r="E413" s="3">
        <v>3</v>
      </c>
      <c r="F413" s="3">
        <v>16</v>
      </c>
      <c r="G413" s="3">
        <v>48</v>
      </c>
      <c r="H413" s="3">
        <v>0.03</v>
      </c>
      <c r="I413" s="3">
        <v>1.44</v>
      </c>
      <c r="J413" s="3" t="s">
        <v>17</v>
      </c>
    </row>
    <row r="414" spans="1:10" x14ac:dyDescent="0.35">
      <c r="A414" s="3" t="s">
        <v>444</v>
      </c>
      <c r="B414" s="4">
        <v>43289</v>
      </c>
      <c r="C414" s="3" t="s">
        <v>19</v>
      </c>
      <c r="D414" s="3" t="s">
        <v>31</v>
      </c>
      <c r="E414" s="3">
        <v>2</v>
      </c>
      <c r="F414" s="3">
        <v>230</v>
      </c>
      <c r="G414" s="3">
        <v>460</v>
      </c>
      <c r="H414" s="3">
        <v>0.08</v>
      </c>
      <c r="I414" s="3">
        <v>36.800000000000004</v>
      </c>
      <c r="J414" s="3" t="s">
        <v>20</v>
      </c>
    </row>
    <row r="415" spans="1:10" x14ac:dyDescent="0.35">
      <c r="A415" s="3" t="s">
        <v>445</v>
      </c>
      <c r="B415" s="4">
        <v>43289</v>
      </c>
      <c r="C415" s="3" t="s">
        <v>30</v>
      </c>
      <c r="D415" s="3" t="s">
        <v>12</v>
      </c>
      <c r="E415" s="3">
        <v>21</v>
      </c>
      <c r="F415" s="3">
        <v>16</v>
      </c>
      <c r="G415" s="3">
        <v>336</v>
      </c>
      <c r="H415" s="3">
        <v>0.09</v>
      </c>
      <c r="I415" s="3">
        <v>30.24</v>
      </c>
      <c r="J415" s="3" t="s">
        <v>22</v>
      </c>
    </row>
    <row r="416" spans="1:10" x14ac:dyDescent="0.35">
      <c r="A416" s="3" t="s">
        <v>446</v>
      </c>
      <c r="B416" s="4">
        <v>43289</v>
      </c>
      <c r="C416" s="3" t="s">
        <v>11</v>
      </c>
      <c r="D416" s="3" t="s">
        <v>27</v>
      </c>
      <c r="E416" s="3">
        <v>7</v>
      </c>
      <c r="F416" s="3">
        <v>80</v>
      </c>
      <c r="G416" s="3">
        <v>560</v>
      </c>
      <c r="H416" s="3">
        <v>7.0000000000000007E-2</v>
      </c>
      <c r="I416" s="3">
        <v>39.200000000000003</v>
      </c>
      <c r="J416" s="3" t="s">
        <v>25</v>
      </c>
    </row>
    <row r="417" spans="1:10" x14ac:dyDescent="0.35">
      <c r="A417" s="3" t="s">
        <v>447</v>
      </c>
      <c r="B417" s="4">
        <v>43289</v>
      </c>
      <c r="C417" s="3" t="s">
        <v>34</v>
      </c>
      <c r="D417" s="3" t="s">
        <v>16</v>
      </c>
      <c r="E417" s="3">
        <v>23</v>
      </c>
      <c r="F417" s="3">
        <v>150</v>
      </c>
      <c r="G417" s="3">
        <v>3450</v>
      </c>
      <c r="H417" s="3">
        <v>0.11</v>
      </c>
      <c r="I417" s="3">
        <v>379.5</v>
      </c>
      <c r="J417" s="3" t="s">
        <v>28</v>
      </c>
    </row>
    <row r="418" spans="1:10" x14ac:dyDescent="0.35">
      <c r="A418" s="3" t="s">
        <v>448</v>
      </c>
      <c r="B418" s="4">
        <v>43290</v>
      </c>
      <c r="C418" s="3" t="s">
        <v>34</v>
      </c>
      <c r="D418" s="3" t="s">
        <v>12</v>
      </c>
      <c r="E418" s="3">
        <v>11</v>
      </c>
      <c r="F418" s="3">
        <v>150</v>
      </c>
      <c r="G418" s="3">
        <v>1650</v>
      </c>
      <c r="H418" s="3">
        <v>0.05</v>
      </c>
      <c r="I418" s="3">
        <v>82.5</v>
      </c>
      <c r="J418" s="3" t="s">
        <v>32</v>
      </c>
    </row>
    <row r="419" spans="1:10" x14ac:dyDescent="0.35">
      <c r="A419" s="3" t="s">
        <v>449</v>
      </c>
      <c r="B419" s="4">
        <v>43290</v>
      </c>
      <c r="C419" s="3" t="s">
        <v>11</v>
      </c>
      <c r="D419" s="3" t="s">
        <v>31</v>
      </c>
      <c r="E419" s="3">
        <v>16</v>
      </c>
      <c r="F419" s="3">
        <v>80</v>
      </c>
      <c r="G419" s="3">
        <v>1280</v>
      </c>
      <c r="H419" s="3">
        <v>0.05</v>
      </c>
      <c r="I419" s="3">
        <v>64</v>
      </c>
      <c r="J419" s="3" t="s">
        <v>35</v>
      </c>
    </row>
    <row r="420" spans="1:10" x14ac:dyDescent="0.35">
      <c r="A420" s="3" t="s">
        <v>450</v>
      </c>
      <c r="B420" s="4">
        <v>43290</v>
      </c>
      <c r="C420" s="3" t="s">
        <v>19</v>
      </c>
      <c r="D420" s="3" t="s">
        <v>24</v>
      </c>
      <c r="E420" s="3">
        <v>5</v>
      </c>
      <c r="F420" s="3">
        <v>230</v>
      </c>
      <c r="G420" s="3">
        <v>1150</v>
      </c>
      <c r="H420" s="3">
        <v>0.1</v>
      </c>
      <c r="I420" s="3">
        <v>115</v>
      </c>
      <c r="J420" s="3" t="s">
        <v>37</v>
      </c>
    </row>
    <row r="421" spans="1:10" x14ac:dyDescent="0.35">
      <c r="A421" s="3" t="s">
        <v>451</v>
      </c>
      <c r="B421" s="4">
        <v>43290</v>
      </c>
      <c r="C421" s="3" t="s">
        <v>30</v>
      </c>
      <c r="D421" s="3" t="s">
        <v>12</v>
      </c>
      <c r="E421" s="3">
        <v>22</v>
      </c>
      <c r="F421" s="3">
        <v>16</v>
      </c>
      <c r="G421" s="3">
        <v>352</v>
      </c>
      <c r="H421" s="3">
        <v>0.01</v>
      </c>
      <c r="I421" s="3">
        <v>3.52</v>
      </c>
      <c r="J421" s="3" t="s">
        <v>39</v>
      </c>
    </row>
    <row r="422" spans="1:10" x14ac:dyDescent="0.35">
      <c r="A422" s="3" t="s">
        <v>452</v>
      </c>
      <c r="B422" s="4">
        <v>43290</v>
      </c>
      <c r="C422" s="3" t="s">
        <v>15</v>
      </c>
      <c r="D422" s="3" t="s">
        <v>31</v>
      </c>
      <c r="E422" s="3">
        <v>7</v>
      </c>
      <c r="F422" s="3">
        <v>40</v>
      </c>
      <c r="G422" s="3">
        <v>280</v>
      </c>
      <c r="H422" s="3">
        <v>0.12</v>
      </c>
      <c r="I422" s="3">
        <v>33.6</v>
      </c>
      <c r="J422" s="3" t="s">
        <v>13</v>
      </c>
    </row>
    <row r="423" spans="1:10" x14ac:dyDescent="0.35">
      <c r="A423" s="3" t="s">
        <v>453</v>
      </c>
      <c r="B423" s="4">
        <v>43290</v>
      </c>
      <c r="C423" s="3" t="s">
        <v>11</v>
      </c>
      <c r="D423" s="3" t="s">
        <v>16</v>
      </c>
      <c r="E423" s="3">
        <v>2</v>
      </c>
      <c r="F423" s="3">
        <v>80</v>
      </c>
      <c r="G423" s="3">
        <v>160</v>
      </c>
      <c r="H423" s="3">
        <v>0.04</v>
      </c>
      <c r="I423" s="3">
        <v>6.4</v>
      </c>
      <c r="J423" s="3" t="s">
        <v>17</v>
      </c>
    </row>
    <row r="424" spans="1:10" x14ac:dyDescent="0.35">
      <c r="A424" s="3" t="s">
        <v>454</v>
      </c>
      <c r="B424" s="4">
        <v>43290</v>
      </c>
      <c r="C424" s="3" t="s">
        <v>15</v>
      </c>
      <c r="D424" s="3" t="s">
        <v>27</v>
      </c>
      <c r="E424" s="3">
        <v>6</v>
      </c>
      <c r="F424" s="3">
        <v>40</v>
      </c>
      <c r="G424" s="3">
        <v>240</v>
      </c>
      <c r="H424" s="3">
        <v>7.0000000000000007E-2</v>
      </c>
      <c r="I424" s="3">
        <v>16.8</v>
      </c>
      <c r="J424" s="3" t="s">
        <v>20</v>
      </c>
    </row>
    <row r="425" spans="1:10" x14ac:dyDescent="0.35">
      <c r="A425" s="3" t="s">
        <v>455</v>
      </c>
      <c r="B425" s="4">
        <v>43290</v>
      </c>
      <c r="C425" s="3" t="s">
        <v>11</v>
      </c>
      <c r="D425" s="3" t="s">
        <v>24</v>
      </c>
      <c r="E425" s="3">
        <v>6</v>
      </c>
      <c r="F425" s="3">
        <v>80</v>
      </c>
      <c r="G425" s="3">
        <v>480</v>
      </c>
      <c r="H425" s="3">
        <v>0.01</v>
      </c>
      <c r="I425" s="3">
        <v>4.8</v>
      </c>
      <c r="J425" s="3" t="s">
        <v>22</v>
      </c>
    </row>
    <row r="426" spans="1:10" x14ac:dyDescent="0.35">
      <c r="A426" s="3" t="s">
        <v>456</v>
      </c>
      <c r="B426" s="4">
        <v>43290</v>
      </c>
      <c r="C426" s="3" t="s">
        <v>30</v>
      </c>
      <c r="D426" s="3" t="s">
        <v>16</v>
      </c>
      <c r="E426" s="3">
        <v>22</v>
      </c>
      <c r="F426" s="3">
        <v>16</v>
      </c>
      <c r="G426" s="3">
        <v>352</v>
      </c>
      <c r="H426" s="3">
        <v>0.01</v>
      </c>
      <c r="I426" s="3">
        <v>3.52</v>
      </c>
      <c r="J426" s="3" t="s">
        <v>25</v>
      </c>
    </row>
    <row r="427" spans="1:10" x14ac:dyDescent="0.35">
      <c r="A427" s="3" t="s">
        <v>457</v>
      </c>
      <c r="B427" s="4">
        <v>43290</v>
      </c>
      <c r="C427" s="3" t="s">
        <v>19</v>
      </c>
      <c r="D427" s="3" t="s">
        <v>27</v>
      </c>
      <c r="E427" s="3">
        <v>7</v>
      </c>
      <c r="F427" s="3">
        <v>230</v>
      </c>
      <c r="G427" s="3">
        <v>1610</v>
      </c>
      <c r="H427" s="3">
        <v>0.06</v>
      </c>
      <c r="I427" s="3">
        <v>96.6</v>
      </c>
      <c r="J427" s="3" t="s">
        <v>28</v>
      </c>
    </row>
    <row r="428" spans="1:10" x14ac:dyDescent="0.35">
      <c r="A428" s="3" t="s">
        <v>458</v>
      </c>
      <c r="B428" s="4">
        <v>43291</v>
      </c>
      <c r="C428" s="3" t="s">
        <v>30</v>
      </c>
      <c r="D428" s="3" t="s">
        <v>27</v>
      </c>
      <c r="E428" s="3">
        <v>22</v>
      </c>
      <c r="F428" s="3">
        <v>16</v>
      </c>
      <c r="G428" s="3">
        <v>352</v>
      </c>
      <c r="H428" s="3">
        <v>0.03</v>
      </c>
      <c r="I428" s="3">
        <v>10.559999999999999</v>
      </c>
      <c r="J428" s="3" t="s">
        <v>32</v>
      </c>
    </row>
    <row r="429" spans="1:10" x14ac:dyDescent="0.35">
      <c r="A429" s="3" t="s">
        <v>459</v>
      </c>
      <c r="B429" s="4">
        <v>43291</v>
      </c>
      <c r="C429" s="3" t="s">
        <v>15</v>
      </c>
      <c r="D429" s="3" t="s">
        <v>31</v>
      </c>
      <c r="E429" s="3">
        <v>20</v>
      </c>
      <c r="F429" s="3">
        <v>40</v>
      </c>
      <c r="G429" s="3">
        <v>800</v>
      </c>
      <c r="H429" s="3">
        <v>0.05</v>
      </c>
      <c r="I429" s="3">
        <v>40</v>
      </c>
      <c r="J429" s="3" t="s">
        <v>35</v>
      </c>
    </row>
    <row r="430" spans="1:10" x14ac:dyDescent="0.35">
      <c r="A430" s="3" t="s">
        <v>460</v>
      </c>
      <c r="B430" s="4">
        <v>43291</v>
      </c>
      <c r="C430" s="3" t="s">
        <v>15</v>
      </c>
      <c r="D430" s="3" t="s">
        <v>16</v>
      </c>
      <c r="E430" s="3">
        <v>19</v>
      </c>
      <c r="F430" s="3">
        <v>40</v>
      </c>
      <c r="G430" s="3">
        <v>760</v>
      </c>
      <c r="H430" s="3">
        <v>0.1</v>
      </c>
      <c r="I430" s="3">
        <v>76</v>
      </c>
      <c r="J430" s="3" t="s">
        <v>37</v>
      </c>
    </row>
    <row r="431" spans="1:10" x14ac:dyDescent="0.35">
      <c r="A431" s="3" t="s">
        <v>461</v>
      </c>
      <c r="B431" s="4">
        <v>43291</v>
      </c>
      <c r="C431" s="3" t="s">
        <v>30</v>
      </c>
      <c r="D431" s="3" t="s">
        <v>12</v>
      </c>
      <c r="E431" s="3">
        <v>18</v>
      </c>
      <c r="F431" s="3">
        <v>16</v>
      </c>
      <c r="G431" s="3">
        <v>288</v>
      </c>
      <c r="H431" s="3">
        <v>0.05</v>
      </c>
      <c r="I431" s="3">
        <v>14.4</v>
      </c>
      <c r="J431" s="3" t="s">
        <v>39</v>
      </c>
    </row>
    <row r="432" spans="1:10" x14ac:dyDescent="0.35">
      <c r="A432" s="3" t="s">
        <v>462</v>
      </c>
      <c r="B432" s="4">
        <v>43291</v>
      </c>
      <c r="C432" s="3" t="s">
        <v>15</v>
      </c>
      <c r="D432" s="3" t="s">
        <v>24</v>
      </c>
      <c r="E432" s="3">
        <v>2</v>
      </c>
      <c r="F432" s="3">
        <v>40</v>
      </c>
      <c r="G432" s="3">
        <v>80</v>
      </c>
      <c r="H432" s="3">
        <v>0.02</v>
      </c>
      <c r="I432" s="3">
        <v>1.6</v>
      </c>
      <c r="J432" s="3" t="s">
        <v>41</v>
      </c>
    </row>
    <row r="433" spans="1:10" x14ac:dyDescent="0.35">
      <c r="A433" s="3" t="s">
        <v>463</v>
      </c>
      <c r="B433" s="4">
        <v>43291</v>
      </c>
      <c r="C433" s="3" t="s">
        <v>15</v>
      </c>
      <c r="D433" s="3" t="s">
        <v>27</v>
      </c>
      <c r="E433" s="3">
        <v>7</v>
      </c>
      <c r="F433" s="3">
        <v>40</v>
      </c>
      <c r="G433" s="3">
        <v>280</v>
      </c>
      <c r="H433" s="3">
        <v>7.0000000000000007E-2</v>
      </c>
      <c r="I433" s="3">
        <v>19.600000000000001</v>
      </c>
      <c r="J433" s="3" t="s">
        <v>43</v>
      </c>
    </row>
    <row r="434" spans="1:10" x14ac:dyDescent="0.35">
      <c r="A434" s="3" t="s">
        <v>464</v>
      </c>
      <c r="B434" s="4">
        <v>43291</v>
      </c>
      <c r="C434" s="3" t="s">
        <v>34</v>
      </c>
      <c r="D434" s="3" t="s">
        <v>24</v>
      </c>
      <c r="E434" s="3">
        <v>11</v>
      </c>
      <c r="F434" s="3">
        <v>150</v>
      </c>
      <c r="G434" s="3">
        <v>1650</v>
      </c>
      <c r="H434" s="3">
        <v>0.05</v>
      </c>
      <c r="I434" s="3">
        <v>82.5</v>
      </c>
      <c r="J434" s="3" t="s">
        <v>13</v>
      </c>
    </row>
    <row r="435" spans="1:10" x14ac:dyDescent="0.35">
      <c r="A435" s="3" t="s">
        <v>465</v>
      </c>
      <c r="B435" s="4">
        <v>43291</v>
      </c>
      <c r="C435" s="3" t="s">
        <v>11</v>
      </c>
      <c r="D435" s="3" t="s">
        <v>16</v>
      </c>
      <c r="E435" s="3">
        <v>14</v>
      </c>
      <c r="F435" s="3">
        <v>80</v>
      </c>
      <c r="G435" s="3">
        <v>1120</v>
      </c>
      <c r="H435" s="3">
        <v>0.11</v>
      </c>
      <c r="I435" s="3">
        <v>123.2</v>
      </c>
      <c r="J435" s="3" t="s">
        <v>17</v>
      </c>
    </row>
    <row r="436" spans="1:10" x14ac:dyDescent="0.35">
      <c r="A436" s="3" t="s">
        <v>466</v>
      </c>
      <c r="B436" s="4">
        <v>43291</v>
      </c>
      <c r="C436" s="3" t="s">
        <v>15</v>
      </c>
      <c r="D436" s="3" t="s">
        <v>31</v>
      </c>
      <c r="E436" s="3">
        <v>7</v>
      </c>
      <c r="F436" s="3">
        <v>40</v>
      </c>
      <c r="G436" s="3">
        <v>280</v>
      </c>
      <c r="H436" s="3">
        <v>0.04</v>
      </c>
      <c r="I436" s="3">
        <v>11.200000000000001</v>
      </c>
      <c r="J436" s="3" t="s">
        <v>20</v>
      </c>
    </row>
    <row r="437" spans="1:10" x14ac:dyDescent="0.35">
      <c r="A437" s="3" t="s">
        <v>467</v>
      </c>
      <c r="B437" s="4">
        <v>43291</v>
      </c>
      <c r="C437" s="3" t="s">
        <v>11</v>
      </c>
      <c r="D437" s="3" t="s">
        <v>27</v>
      </c>
      <c r="E437" s="3">
        <v>14</v>
      </c>
      <c r="F437" s="3">
        <v>80</v>
      </c>
      <c r="G437" s="3">
        <v>1120</v>
      </c>
      <c r="H437" s="3">
        <v>0.05</v>
      </c>
      <c r="I437" s="3">
        <v>56</v>
      </c>
      <c r="J437" s="3" t="s">
        <v>22</v>
      </c>
    </row>
    <row r="438" spans="1:10" x14ac:dyDescent="0.35">
      <c r="A438" s="3" t="s">
        <v>468</v>
      </c>
      <c r="B438" s="4">
        <v>43292</v>
      </c>
      <c r="C438" s="3" t="s">
        <v>30</v>
      </c>
      <c r="D438" s="3" t="s">
        <v>24</v>
      </c>
      <c r="E438" s="3">
        <v>12</v>
      </c>
      <c r="F438" s="3">
        <v>16</v>
      </c>
      <c r="G438" s="3">
        <v>192</v>
      </c>
      <c r="H438" s="3">
        <v>0.11</v>
      </c>
      <c r="I438" s="3">
        <v>21.12</v>
      </c>
      <c r="J438" s="3" t="s">
        <v>25</v>
      </c>
    </row>
    <row r="439" spans="1:10" x14ac:dyDescent="0.35">
      <c r="A439" s="3" t="s">
        <v>469</v>
      </c>
      <c r="B439" s="4">
        <v>43292</v>
      </c>
      <c r="C439" s="3" t="s">
        <v>15</v>
      </c>
      <c r="D439" s="3" t="s">
        <v>31</v>
      </c>
      <c r="E439" s="3">
        <v>11</v>
      </c>
      <c r="F439" s="3">
        <v>40</v>
      </c>
      <c r="G439" s="3">
        <v>440</v>
      </c>
      <c r="H439" s="3">
        <v>0.05</v>
      </c>
      <c r="I439" s="3">
        <v>22</v>
      </c>
      <c r="J439" s="3" t="s">
        <v>28</v>
      </c>
    </row>
    <row r="440" spans="1:10" x14ac:dyDescent="0.35">
      <c r="A440" s="3" t="s">
        <v>470</v>
      </c>
      <c r="B440" s="4">
        <v>43292</v>
      </c>
      <c r="C440" s="3" t="s">
        <v>30</v>
      </c>
      <c r="D440" s="3" t="s">
        <v>24</v>
      </c>
      <c r="E440" s="3">
        <v>14</v>
      </c>
      <c r="F440" s="3">
        <v>16</v>
      </c>
      <c r="G440" s="3">
        <v>224</v>
      </c>
      <c r="H440" s="3">
        <v>0.01</v>
      </c>
      <c r="I440" s="3">
        <v>2.2400000000000002</v>
      </c>
      <c r="J440" s="3" t="s">
        <v>32</v>
      </c>
    </row>
    <row r="441" spans="1:10" x14ac:dyDescent="0.35">
      <c r="A441" s="3" t="s">
        <v>471</v>
      </c>
      <c r="B441" s="4">
        <v>43292</v>
      </c>
      <c r="C441" s="3" t="s">
        <v>19</v>
      </c>
      <c r="D441" s="3" t="s">
        <v>27</v>
      </c>
      <c r="E441" s="3">
        <v>2</v>
      </c>
      <c r="F441" s="3">
        <v>230</v>
      </c>
      <c r="G441" s="3">
        <v>460</v>
      </c>
      <c r="H441" s="3">
        <v>0.08</v>
      </c>
      <c r="I441" s="3">
        <v>36.800000000000004</v>
      </c>
      <c r="J441" s="3" t="s">
        <v>35</v>
      </c>
    </row>
    <row r="442" spans="1:10" x14ac:dyDescent="0.35">
      <c r="A442" s="3" t="s">
        <v>472</v>
      </c>
      <c r="B442" s="4">
        <v>43292</v>
      </c>
      <c r="C442" s="3" t="s">
        <v>30</v>
      </c>
      <c r="D442" s="3" t="s">
        <v>12</v>
      </c>
      <c r="E442" s="3">
        <v>20</v>
      </c>
      <c r="F442" s="3">
        <v>16</v>
      </c>
      <c r="G442" s="3">
        <v>320</v>
      </c>
      <c r="H442" s="3">
        <v>0.11</v>
      </c>
      <c r="I442" s="3">
        <v>35.200000000000003</v>
      </c>
      <c r="J442" s="3" t="s">
        <v>37</v>
      </c>
    </row>
    <row r="443" spans="1:10" x14ac:dyDescent="0.35">
      <c r="A443" s="3" t="s">
        <v>473</v>
      </c>
      <c r="B443" s="4">
        <v>43292</v>
      </c>
      <c r="C443" s="3" t="s">
        <v>30</v>
      </c>
      <c r="D443" s="3" t="s">
        <v>24</v>
      </c>
      <c r="E443" s="3">
        <v>6</v>
      </c>
      <c r="F443" s="3">
        <v>16</v>
      </c>
      <c r="G443" s="3">
        <v>96</v>
      </c>
      <c r="H443" s="3">
        <v>0.06</v>
      </c>
      <c r="I443" s="3">
        <v>5.76</v>
      </c>
      <c r="J443" s="3" t="s">
        <v>39</v>
      </c>
    </row>
    <row r="444" spans="1:10" x14ac:dyDescent="0.35">
      <c r="A444" s="3" t="s">
        <v>474</v>
      </c>
      <c r="B444" s="4">
        <v>43292</v>
      </c>
      <c r="C444" s="3" t="s">
        <v>11</v>
      </c>
      <c r="D444" s="3" t="s">
        <v>27</v>
      </c>
      <c r="E444" s="3">
        <v>17</v>
      </c>
      <c r="F444" s="3">
        <v>80</v>
      </c>
      <c r="G444" s="3">
        <v>1360</v>
      </c>
      <c r="H444" s="3">
        <v>0.05</v>
      </c>
      <c r="I444" s="3">
        <v>68</v>
      </c>
      <c r="J444" s="3" t="s">
        <v>41</v>
      </c>
    </row>
    <row r="445" spans="1:10" x14ac:dyDescent="0.35">
      <c r="A445" s="3" t="s">
        <v>475</v>
      </c>
      <c r="B445" s="4">
        <v>43292</v>
      </c>
      <c r="C445" s="3" t="s">
        <v>15</v>
      </c>
      <c r="D445" s="3" t="s">
        <v>12</v>
      </c>
      <c r="E445" s="3">
        <v>2</v>
      </c>
      <c r="F445" s="3">
        <v>40</v>
      </c>
      <c r="G445" s="3">
        <v>80</v>
      </c>
      <c r="H445" s="3">
        <v>0.12</v>
      </c>
      <c r="I445" s="3">
        <v>9.6</v>
      </c>
      <c r="J445" s="3" t="s">
        <v>43</v>
      </c>
    </row>
    <row r="446" spans="1:10" x14ac:dyDescent="0.35">
      <c r="A446" s="3" t="s">
        <v>476</v>
      </c>
      <c r="B446" s="4">
        <v>43292</v>
      </c>
      <c r="C446" s="3" t="s">
        <v>30</v>
      </c>
      <c r="D446" s="3" t="s">
        <v>12</v>
      </c>
      <c r="E446" s="3">
        <v>7</v>
      </c>
      <c r="F446" s="3">
        <v>16</v>
      </c>
      <c r="G446" s="3">
        <v>112</v>
      </c>
      <c r="H446" s="3">
        <v>0.12</v>
      </c>
      <c r="I446" s="3">
        <v>13.44</v>
      </c>
      <c r="J446" s="3" t="s">
        <v>13</v>
      </c>
    </row>
    <row r="447" spans="1:10" x14ac:dyDescent="0.35">
      <c r="A447" s="3" t="s">
        <v>477</v>
      </c>
      <c r="B447" s="4">
        <v>43292</v>
      </c>
      <c r="C447" s="3" t="s">
        <v>34</v>
      </c>
      <c r="D447" s="3" t="s">
        <v>12</v>
      </c>
      <c r="E447" s="3">
        <v>7</v>
      </c>
      <c r="F447" s="3">
        <v>150</v>
      </c>
      <c r="G447" s="3">
        <v>1050</v>
      </c>
      <c r="H447" s="3">
        <v>0.02</v>
      </c>
      <c r="I447" s="3">
        <v>21</v>
      </c>
      <c r="J447" s="3" t="s">
        <v>17</v>
      </c>
    </row>
    <row r="448" spans="1:10" x14ac:dyDescent="0.35">
      <c r="A448" s="3" t="s">
        <v>478</v>
      </c>
      <c r="B448" s="4">
        <v>43292</v>
      </c>
      <c r="C448" s="3" t="s">
        <v>11</v>
      </c>
      <c r="D448" s="3" t="s">
        <v>12</v>
      </c>
      <c r="E448" s="3">
        <v>20</v>
      </c>
      <c r="F448" s="3">
        <v>80</v>
      </c>
      <c r="G448" s="3">
        <v>1600</v>
      </c>
      <c r="H448" s="3">
        <v>0.01</v>
      </c>
      <c r="I448" s="3">
        <v>16</v>
      </c>
      <c r="J448" s="3" t="s">
        <v>20</v>
      </c>
    </row>
    <row r="449" spans="1:10" x14ac:dyDescent="0.35">
      <c r="A449" s="3" t="s">
        <v>479</v>
      </c>
      <c r="B449" s="4">
        <v>43292</v>
      </c>
      <c r="C449" s="3" t="s">
        <v>11</v>
      </c>
      <c r="D449" s="3" t="s">
        <v>27</v>
      </c>
      <c r="E449" s="3">
        <v>11</v>
      </c>
      <c r="F449" s="3">
        <v>80</v>
      </c>
      <c r="G449" s="3">
        <v>880</v>
      </c>
      <c r="H449" s="3">
        <v>0.01</v>
      </c>
      <c r="I449" s="3">
        <v>8.8000000000000007</v>
      </c>
      <c r="J449" s="3" t="s">
        <v>22</v>
      </c>
    </row>
    <row r="450" spans="1:10" x14ac:dyDescent="0.35">
      <c r="A450" s="3" t="s">
        <v>480</v>
      </c>
      <c r="B450" s="4">
        <v>43292</v>
      </c>
      <c r="C450" s="3" t="s">
        <v>11</v>
      </c>
      <c r="D450" s="3" t="s">
        <v>24</v>
      </c>
      <c r="E450" s="3">
        <v>10</v>
      </c>
      <c r="F450" s="3">
        <v>80</v>
      </c>
      <c r="G450" s="3">
        <v>800</v>
      </c>
      <c r="H450" s="3">
        <v>0.08</v>
      </c>
      <c r="I450" s="3">
        <v>64</v>
      </c>
      <c r="J450" s="3" t="s">
        <v>25</v>
      </c>
    </row>
    <row r="451" spans="1:10" x14ac:dyDescent="0.35">
      <c r="A451" s="3" t="s">
        <v>481</v>
      </c>
      <c r="B451" s="4">
        <v>43293</v>
      </c>
      <c r="C451" s="3" t="s">
        <v>11</v>
      </c>
      <c r="D451" s="3" t="s">
        <v>16</v>
      </c>
      <c r="E451" s="3">
        <v>5</v>
      </c>
      <c r="F451" s="3">
        <v>80</v>
      </c>
      <c r="G451" s="3">
        <v>400</v>
      </c>
      <c r="H451" s="3">
        <v>0.04</v>
      </c>
      <c r="I451" s="3">
        <v>16</v>
      </c>
      <c r="J451" s="3" t="s">
        <v>28</v>
      </c>
    </row>
    <row r="452" spans="1:10" x14ac:dyDescent="0.35">
      <c r="A452" s="3" t="s">
        <v>482</v>
      </c>
      <c r="B452" s="4">
        <v>43293</v>
      </c>
      <c r="C452" s="3" t="s">
        <v>11</v>
      </c>
      <c r="D452" s="3" t="s">
        <v>27</v>
      </c>
      <c r="E452" s="3">
        <v>4</v>
      </c>
      <c r="F452" s="3">
        <v>80</v>
      </c>
      <c r="G452" s="3">
        <v>320</v>
      </c>
      <c r="H452" s="3">
        <v>0.11</v>
      </c>
      <c r="I452" s="3">
        <v>35.200000000000003</v>
      </c>
      <c r="J452" s="3" t="s">
        <v>32</v>
      </c>
    </row>
    <row r="453" spans="1:10" x14ac:dyDescent="0.35">
      <c r="A453" s="3" t="s">
        <v>483</v>
      </c>
      <c r="B453" s="4">
        <v>43293</v>
      </c>
      <c r="C453" s="3" t="s">
        <v>30</v>
      </c>
      <c r="D453" s="3" t="s">
        <v>24</v>
      </c>
      <c r="E453" s="3">
        <v>3</v>
      </c>
      <c r="F453" s="3">
        <v>16</v>
      </c>
      <c r="G453" s="3">
        <v>48</v>
      </c>
      <c r="H453" s="3">
        <v>0.05</v>
      </c>
      <c r="I453" s="3">
        <v>2.4000000000000004</v>
      </c>
      <c r="J453" s="3" t="s">
        <v>35</v>
      </c>
    </row>
    <row r="454" spans="1:10" x14ac:dyDescent="0.35">
      <c r="A454" s="3" t="s">
        <v>484</v>
      </c>
      <c r="B454" s="4">
        <v>43293</v>
      </c>
      <c r="C454" s="3" t="s">
        <v>11</v>
      </c>
      <c r="D454" s="3" t="s">
        <v>12</v>
      </c>
      <c r="E454" s="3">
        <v>9</v>
      </c>
      <c r="F454" s="3">
        <v>80</v>
      </c>
      <c r="G454" s="3">
        <v>720</v>
      </c>
      <c r="H454" s="3">
        <v>0.04</v>
      </c>
      <c r="I454" s="3">
        <v>28.8</v>
      </c>
      <c r="J454" s="3" t="s">
        <v>37</v>
      </c>
    </row>
    <row r="455" spans="1:10" x14ac:dyDescent="0.35">
      <c r="A455" s="3" t="s">
        <v>485</v>
      </c>
      <c r="B455" s="4">
        <v>43293</v>
      </c>
      <c r="C455" s="3" t="s">
        <v>11</v>
      </c>
      <c r="D455" s="3" t="s">
        <v>31</v>
      </c>
      <c r="E455" s="3">
        <v>16</v>
      </c>
      <c r="F455" s="3">
        <v>80</v>
      </c>
      <c r="G455" s="3">
        <v>1280</v>
      </c>
      <c r="H455" s="3">
        <v>0.09</v>
      </c>
      <c r="I455" s="3">
        <v>115.19999999999999</v>
      </c>
      <c r="J455" s="3" t="s">
        <v>39</v>
      </c>
    </row>
    <row r="456" spans="1:10" x14ac:dyDescent="0.35">
      <c r="A456" s="3" t="s">
        <v>486</v>
      </c>
      <c r="B456" s="4">
        <v>43294</v>
      </c>
      <c r="C456" s="3" t="s">
        <v>30</v>
      </c>
      <c r="D456" s="3" t="s">
        <v>16</v>
      </c>
      <c r="E456" s="3">
        <v>7</v>
      </c>
      <c r="F456" s="3">
        <v>16</v>
      </c>
      <c r="G456" s="3">
        <v>112</v>
      </c>
      <c r="H456" s="3">
        <v>0.08</v>
      </c>
      <c r="I456" s="3">
        <v>8.9600000000000009</v>
      </c>
      <c r="J456" s="3" t="s">
        <v>41</v>
      </c>
    </row>
    <row r="457" spans="1:10" x14ac:dyDescent="0.35">
      <c r="A457" s="3" t="s">
        <v>487</v>
      </c>
      <c r="B457" s="4">
        <v>43294</v>
      </c>
      <c r="C457" s="3" t="s">
        <v>34</v>
      </c>
      <c r="D457" s="3" t="s">
        <v>16</v>
      </c>
      <c r="E457" s="3">
        <v>16</v>
      </c>
      <c r="F457" s="3">
        <v>150</v>
      </c>
      <c r="G457" s="3">
        <v>2400</v>
      </c>
      <c r="H457" s="3">
        <v>0.05</v>
      </c>
      <c r="I457" s="3">
        <v>120</v>
      </c>
      <c r="J457" s="3" t="s">
        <v>43</v>
      </c>
    </row>
    <row r="458" spans="1:10" x14ac:dyDescent="0.35">
      <c r="A458" s="3" t="s">
        <v>488</v>
      </c>
      <c r="B458" s="4">
        <v>43294</v>
      </c>
      <c r="C458" s="3" t="s">
        <v>30</v>
      </c>
      <c r="D458" s="3" t="s">
        <v>27</v>
      </c>
      <c r="E458" s="3">
        <v>10</v>
      </c>
      <c r="F458" s="3">
        <v>16</v>
      </c>
      <c r="G458" s="3">
        <v>160</v>
      </c>
      <c r="H458" s="3">
        <v>0.04</v>
      </c>
      <c r="I458" s="3">
        <v>6.4</v>
      </c>
      <c r="J458" s="3" t="s">
        <v>13</v>
      </c>
    </row>
    <row r="459" spans="1:10" x14ac:dyDescent="0.35">
      <c r="A459" s="3" t="s">
        <v>489</v>
      </c>
      <c r="B459" s="4">
        <v>43294</v>
      </c>
      <c r="C459" s="3" t="s">
        <v>15</v>
      </c>
      <c r="D459" s="3" t="s">
        <v>16</v>
      </c>
      <c r="E459" s="3">
        <v>4</v>
      </c>
      <c r="F459" s="3">
        <v>40</v>
      </c>
      <c r="G459" s="3">
        <v>160</v>
      </c>
      <c r="H459" s="3">
        <v>0.03</v>
      </c>
      <c r="I459" s="3">
        <v>4.8</v>
      </c>
      <c r="J459" s="3" t="s">
        <v>17</v>
      </c>
    </row>
    <row r="460" spans="1:10" x14ac:dyDescent="0.35">
      <c r="A460" s="3" t="s">
        <v>490</v>
      </c>
      <c r="B460" s="4">
        <v>43294</v>
      </c>
      <c r="C460" s="3" t="s">
        <v>15</v>
      </c>
      <c r="D460" s="3" t="s">
        <v>16</v>
      </c>
      <c r="E460" s="3">
        <v>15</v>
      </c>
      <c r="F460" s="3">
        <v>40</v>
      </c>
      <c r="G460" s="3">
        <v>600</v>
      </c>
      <c r="H460" s="3">
        <v>0.02</v>
      </c>
      <c r="I460" s="3">
        <v>12</v>
      </c>
      <c r="J460" s="3" t="s">
        <v>20</v>
      </c>
    </row>
    <row r="461" spans="1:10" x14ac:dyDescent="0.35">
      <c r="A461" s="3" t="s">
        <v>491</v>
      </c>
      <c r="B461" s="4">
        <v>43294</v>
      </c>
      <c r="C461" s="3" t="s">
        <v>11</v>
      </c>
      <c r="D461" s="3" t="s">
        <v>24</v>
      </c>
      <c r="E461" s="3">
        <v>6</v>
      </c>
      <c r="F461" s="3">
        <v>80</v>
      </c>
      <c r="G461" s="3">
        <v>480</v>
      </c>
      <c r="H461" s="3">
        <v>0.09</v>
      </c>
      <c r="I461" s="3">
        <v>43.199999999999996</v>
      </c>
      <c r="J461" s="3" t="s">
        <v>22</v>
      </c>
    </row>
    <row r="462" spans="1:10" x14ac:dyDescent="0.35">
      <c r="A462" s="3" t="s">
        <v>492</v>
      </c>
      <c r="B462" s="4">
        <v>43294</v>
      </c>
      <c r="C462" s="3" t="s">
        <v>34</v>
      </c>
      <c r="D462" s="3" t="s">
        <v>12</v>
      </c>
      <c r="E462" s="3">
        <v>20</v>
      </c>
      <c r="F462" s="3">
        <v>150</v>
      </c>
      <c r="G462" s="3">
        <v>3000</v>
      </c>
      <c r="H462" s="3">
        <v>0.01</v>
      </c>
      <c r="I462" s="3">
        <v>30</v>
      </c>
      <c r="J462" s="3" t="s">
        <v>25</v>
      </c>
    </row>
    <row r="463" spans="1:10" x14ac:dyDescent="0.35">
      <c r="A463" s="3" t="s">
        <v>493</v>
      </c>
      <c r="B463" s="4">
        <v>43294</v>
      </c>
      <c r="C463" s="3" t="s">
        <v>30</v>
      </c>
      <c r="D463" s="3" t="s">
        <v>12</v>
      </c>
      <c r="E463" s="3">
        <v>7</v>
      </c>
      <c r="F463" s="3">
        <v>16</v>
      </c>
      <c r="G463" s="3">
        <v>112</v>
      </c>
      <c r="H463" s="3">
        <v>0.08</v>
      </c>
      <c r="I463" s="3">
        <v>8.9600000000000009</v>
      </c>
      <c r="J463" s="3" t="s">
        <v>28</v>
      </c>
    </row>
    <row r="464" spans="1:10" x14ac:dyDescent="0.35">
      <c r="A464" s="3" t="s">
        <v>494</v>
      </c>
      <c r="B464" s="4">
        <v>43294</v>
      </c>
      <c r="C464" s="3" t="s">
        <v>11</v>
      </c>
      <c r="D464" s="3" t="s">
        <v>16</v>
      </c>
      <c r="E464" s="3">
        <v>2</v>
      </c>
      <c r="F464" s="3">
        <v>80</v>
      </c>
      <c r="G464" s="3">
        <v>160</v>
      </c>
      <c r="H464" s="3">
        <v>7.0000000000000007E-2</v>
      </c>
      <c r="I464" s="3">
        <v>11.200000000000001</v>
      </c>
      <c r="J464" s="3" t="s">
        <v>32</v>
      </c>
    </row>
    <row r="465" spans="1:10" x14ac:dyDescent="0.35">
      <c r="A465" s="3" t="s">
        <v>495</v>
      </c>
      <c r="B465" s="4">
        <v>43294</v>
      </c>
      <c r="C465" s="3" t="s">
        <v>15</v>
      </c>
      <c r="D465" s="3" t="s">
        <v>16</v>
      </c>
      <c r="E465" s="3">
        <v>23</v>
      </c>
      <c r="F465" s="3">
        <v>40</v>
      </c>
      <c r="G465" s="3">
        <v>920</v>
      </c>
      <c r="H465" s="3">
        <v>0.06</v>
      </c>
      <c r="I465" s="3">
        <v>55.199999999999996</v>
      </c>
      <c r="J465" s="3" t="s">
        <v>35</v>
      </c>
    </row>
    <row r="466" spans="1:10" x14ac:dyDescent="0.35">
      <c r="A466" s="3" t="s">
        <v>496</v>
      </c>
      <c r="B466" s="4">
        <v>43294</v>
      </c>
      <c r="C466" s="3" t="s">
        <v>30</v>
      </c>
      <c r="D466" s="3" t="s">
        <v>12</v>
      </c>
      <c r="E466" s="3">
        <v>12</v>
      </c>
      <c r="F466" s="3">
        <v>16</v>
      </c>
      <c r="G466" s="3">
        <v>192</v>
      </c>
      <c r="H466" s="3">
        <v>0.11</v>
      </c>
      <c r="I466" s="3">
        <v>21.12</v>
      </c>
      <c r="J466" s="3" t="s">
        <v>37</v>
      </c>
    </row>
    <row r="467" spans="1:10" x14ac:dyDescent="0.35">
      <c r="A467" s="3" t="s">
        <v>497</v>
      </c>
      <c r="B467" s="4">
        <v>43294</v>
      </c>
      <c r="C467" s="3" t="s">
        <v>19</v>
      </c>
      <c r="D467" s="3" t="s">
        <v>27</v>
      </c>
      <c r="E467" s="3">
        <v>2</v>
      </c>
      <c r="F467" s="3">
        <v>230</v>
      </c>
      <c r="G467" s="3">
        <v>460</v>
      </c>
      <c r="H467" s="3">
        <v>0.09</v>
      </c>
      <c r="I467" s="3">
        <v>41.4</v>
      </c>
      <c r="J467" s="3" t="s">
        <v>39</v>
      </c>
    </row>
    <row r="468" spans="1:10" x14ac:dyDescent="0.35">
      <c r="A468" s="3" t="s">
        <v>498</v>
      </c>
      <c r="B468" s="4">
        <v>43294</v>
      </c>
      <c r="C468" s="3" t="s">
        <v>34</v>
      </c>
      <c r="D468" s="3" t="s">
        <v>12</v>
      </c>
      <c r="E468" s="3">
        <v>4</v>
      </c>
      <c r="F468" s="3">
        <v>150</v>
      </c>
      <c r="G468" s="3">
        <v>600</v>
      </c>
      <c r="H468" s="3">
        <v>0.06</v>
      </c>
      <c r="I468" s="3">
        <v>36</v>
      </c>
      <c r="J468" s="3" t="s">
        <v>41</v>
      </c>
    </row>
    <row r="469" spans="1:10" x14ac:dyDescent="0.35">
      <c r="A469" s="3" t="s">
        <v>499</v>
      </c>
      <c r="B469" s="4">
        <v>43294</v>
      </c>
      <c r="C469" s="3" t="s">
        <v>15</v>
      </c>
      <c r="D469" s="3" t="s">
        <v>12</v>
      </c>
      <c r="E469" s="3">
        <v>23</v>
      </c>
      <c r="F469" s="3">
        <v>40</v>
      </c>
      <c r="G469" s="3">
        <v>920</v>
      </c>
      <c r="H469" s="3">
        <v>7.0000000000000007E-2</v>
      </c>
      <c r="I469" s="3">
        <v>64.400000000000006</v>
      </c>
      <c r="J469" s="3" t="s">
        <v>43</v>
      </c>
    </row>
    <row r="470" spans="1:10" x14ac:dyDescent="0.35">
      <c r="A470" s="3" t="s">
        <v>500</v>
      </c>
      <c r="B470" s="4">
        <v>43294</v>
      </c>
      <c r="C470" s="3" t="s">
        <v>30</v>
      </c>
      <c r="D470" s="3" t="s">
        <v>31</v>
      </c>
      <c r="E470" s="3">
        <v>2</v>
      </c>
      <c r="F470" s="3">
        <v>16</v>
      </c>
      <c r="G470" s="3">
        <v>32</v>
      </c>
      <c r="H470" s="3">
        <v>0.04</v>
      </c>
      <c r="I470" s="3">
        <v>1.28</v>
      </c>
      <c r="J470" s="3" t="s">
        <v>13</v>
      </c>
    </row>
    <row r="471" spans="1:10" x14ac:dyDescent="0.35">
      <c r="A471" s="3" t="s">
        <v>501</v>
      </c>
      <c r="B471" s="4">
        <v>43294</v>
      </c>
      <c r="C471" s="3" t="s">
        <v>34</v>
      </c>
      <c r="D471" s="3" t="s">
        <v>27</v>
      </c>
      <c r="E471" s="3">
        <v>7</v>
      </c>
      <c r="F471" s="3">
        <v>150</v>
      </c>
      <c r="G471" s="3">
        <v>1050</v>
      </c>
      <c r="H471" s="3">
        <v>0.05</v>
      </c>
      <c r="I471" s="3">
        <v>52.5</v>
      </c>
      <c r="J471" s="3" t="s">
        <v>17</v>
      </c>
    </row>
    <row r="472" spans="1:10" x14ac:dyDescent="0.35">
      <c r="A472" s="3" t="s">
        <v>502</v>
      </c>
      <c r="B472" s="4">
        <v>43295</v>
      </c>
      <c r="C472" s="3" t="s">
        <v>15</v>
      </c>
      <c r="D472" s="3" t="s">
        <v>12</v>
      </c>
      <c r="E472" s="3">
        <v>15</v>
      </c>
      <c r="F472" s="3">
        <v>40</v>
      </c>
      <c r="G472" s="3">
        <v>600</v>
      </c>
      <c r="H472" s="3">
        <v>0.06</v>
      </c>
      <c r="I472" s="3">
        <v>36</v>
      </c>
      <c r="J472" s="3" t="s">
        <v>20</v>
      </c>
    </row>
    <row r="473" spans="1:10" x14ac:dyDescent="0.35">
      <c r="A473" s="3" t="s">
        <v>503</v>
      </c>
      <c r="B473" s="4">
        <v>43295</v>
      </c>
      <c r="C473" s="3" t="s">
        <v>11</v>
      </c>
      <c r="D473" s="3" t="s">
        <v>27</v>
      </c>
      <c r="E473" s="3">
        <v>16</v>
      </c>
      <c r="F473" s="3">
        <v>80</v>
      </c>
      <c r="G473" s="3">
        <v>1280</v>
      </c>
      <c r="H473" s="3">
        <v>0.05</v>
      </c>
      <c r="I473" s="3">
        <v>64</v>
      </c>
      <c r="J473" s="3" t="s">
        <v>22</v>
      </c>
    </row>
    <row r="474" spans="1:10" x14ac:dyDescent="0.35">
      <c r="A474" s="3" t="s">
        <v>504</v>
      </c>
      <c r="B474" s="4">
        <v>43295</v>
      </c>
      <c r="C474" s="3" t="s">
        <v>15</v>
      </c>
      <c r="D474" s="3" t="s">
        <v>31</v>
      </c>
      <c r="E474" s="3">
        <v>16</v>
      </c>
      <c r="F474" s="3">
        <v>40</v>
      </c>
      <c r="G474" s="3">
        <v>640</v>
      </c>
      <c r="H474" s="3">
        <v>0.11</v>
      </c>
      <c r="I474" s="3">
        <v>70.400000000000006</v>
      </c>
      <c r="J474" s="3" t="s">
        <v>25</v>
      </c>
    </row>
    <row r="475" spans="1:10" x14ac:dyDescent="0.35">
      <c r="A475" s="3" t="s">
        <v>505</v>
      </c>
      <c r="B475" s="4">
        <v>43295</v>
      </c>
      <c r="C475" s="3" t="s">
        <v>30</v>
      </c>
      <c r="D475" s="3" t="s">
        <v>31</v>
      </c>
      <c r="E475" s="3">
        <v>23</v>
      </c>
      <c r="F475" s="3">
        <v>16</v>
      </c>
      <c r="G475" s="3">
        <v>368</v>
      </c>
      <c r="H475" s="3">
        <v>0.01</v>
      </c>
      <c r="I475" s="3">
        <v>3.68</v>
      </c>
      <c r="J475" s="3" t="s">
        <v>28</v>
      </c>
    </row>
    <row r="476" spans="1:10" x14ac:dyDescent="0.35">
      <c r="A476" s="3" t="s">
        <v>506</v>
      </c>
      <c r="B476" s="4">
        <v>43295</v>
      </c>
      <c r="C476" s="3" t="s">
        <v>19</v>
      </c>
      <c r="D476" s="3" t="s">
        <v>16</v>
      </c>
      <c r="E476" s="3">
        <v>12</v>
      </c>
      <c r="F476" s="3">
        <v>230</v>
      </c>
      <c r="G476" s="3">
        <v>2760</v>
      </c>
      <c r="H476" s="3">
        <v>0.03</v>
      </c>
      <c r="I476" s="3">
        <v>82.8</v>
      </c>
      <c r="J476" s="3" t="s">
        <v>32</v>
      </c>
    </row>
    <row r="477" spans="1:10" x14ac:dyDescent="0.35">
      <c r="A477" s="3" t="s">
        <v>507</v>
      </c>
      <c r="B477" s="4">
        <v>43295</v>
      </c>
      <c r="C477" s="3" t="s">
        <v>30</v>
      </c>
      <c r="D477" s="3" t="s">
        <v>12</v>
      </c>
      <c r="E477" s="3">
        <v>4</v>
      </c>
      <c r="F477" s="3">
        <v>16</v>
      </c>
      <c r="G477" s="3">
        <v>64</v>
      </c>
      <c r="H477" s="3">
        <v>0.12</v>
      </c>
      <c r="I477" s="3">
        <v>7.68</v>
      </c>
      <c r="J477" s="3" t="s">
        <v>35</v>
      </c>
    </row>
    <row r="478" spans="1:10" x14ac:dyDescent="0.35">
      <c r="A478" s="3" t="s">
        <v>508</v>
      </c>
      <c r="B478" s="4">
        <v>43295</v>
      </c>
      <c r="C478" s="3" t="s">
        <v>34</v>
      </c>
      <c r="D478" s="3" t="s">
        <v>27</v>
      </c>
      <c r="E478" s="3">
        <v>3</v>
      </c>
      <c r="F478" s="3">
        <v>150</v>
      </c>
      <c r="G478" s="3">
        <v>450</v>
      </c>
      <c r="H478" s="3">
        <v>0.01</v>
      </c>
      <c r="I478" s="3">
        <v>4.5</v>
      </c>
      <c r="J478" s="3" t="s">
        <v>37</v>
      </c>
    </row>
    <row r="479" spans="1:10" x14ac:dyDescent="0.35">
      <c r="A479" s="3" t="s">
        <v>509</v>
      </c>
      <c r="B479" s="4">
        <v>43295</v>
      </c>
      <c r="C479" s="3" t="s">
        <v>34</v>
      </c>
      <c r="D479" s="3" t="s">
        <v>16</v>
      </c>
      <c r="E479" s="3">
        <v>10</v>
      </c>
      <c r="F479" s="3">
        <v>150</v>
      </c>
      <c r="G479" s="3">
        <v>1500</v>
      </c>
      <c r="H479" s="3">
        <v>0.01</v>
      </c>
      <c r="I479" s="3">
        <v>15</v>
      </c>
      <c r="J479" s="3" t="s">
        <v>39</v>
      </c>
    </row>
    <row r="480" spans="1:10" x14ac:dyDescent="0.35">
      <c r="A480" s="3" t="s">
        <v>510</v>
      </c>
      <c r="B480" s="4">
        <v>43295</v>
      </c>
      <c r="C480" s="3" t="s">
        <v>11</v>
      </c>
      <c r="D480" s="3" t="s">
        <v>16</v>
      </c>
      <c r="E480" s="3">
        <v>13</v>
      </c>
      <c r="F480" s="3">
        <v>80</v>
      </c>
      <c r="G480" s="3">
        <v>1040</v>
      </c>
      <c r="H480" s="3">
        <v>0.06</v>
      </c>
      <c r="I480" s="3">
        <v>62.4</v>
      </c>
      <c r="J480" s="3" t="s">
        <v>41</v>
      </c>
    </row>
    <row r="481" spans="1:10" x14ac:dyDescent="0.35">
      <c r="A481" s="3" t="s">
        <v>511</v>
      </c>
      <c r="B481" s="4">
        <v>43295</v>
      </c>
      <c r="C481" s="3" t="s">
        <v>19</v>
      </c>
      <c r="D481" s="3" t="s">
        <v>24</v>
      </c>
      <c r="E481" s="3">
        <v>15</v>
      </c>
      <c r="F481" s="3">
        <v>230</v>
      </c>
      <c r="G481" s="3">
        <v>3450</v>
      </c>
      <c r="H481" s="3">
        <v>0.04</v>
      </c>
      <c r="I481" s="3">
        <v>138</v>
      </c>
      <c r="J481" s="3" t="s">
        <v>43</v>
      </c>
    </row>
    <row r="482" spans="1:10" x14ac:dyDescent="0.35">
      <c r="A482" s="3" t="s">
        <v>512</v>
      </c>
      <c r="B482" s="4">
        <v>43295</v>
      </c>
      <c r="C482" s="3" t="s">
        <v>34</v>
      </c>
      <c r="D482" s="3" t="s">
        <v>12</v>
      </c>
      <c r="E482" s="3">
        <v>23</v>
      </c>
      <c r="F482" s="3">
        <v>150</v>
      </c>
      <c r="G482" s="3">
        <v>3450</v>
      </c>
      <c r="H482" s="3">
        <v>0.1</v>
      </c>
      <c r="I482" s="3">
        <v>345</v>
      </c>
      <c r="J482" s="3" t="s">
        <v>13</v>
      </c>
    </row>
    <row r="483" spans="1:10" x14ac:dyDescent="0.35">
      <c r="A483" s="3" t="s">
        <v>513</v>
      </c>
      <c r="B483" s="4">
        <v>43295</v>
      </c>
      <c r="C483" s="3" t="s">
        <v>34</v>
      </c>
      <c r="D483" s="3" t="s">
        <v>16</v>
      </c>
      <c r="E483" s="3">
        <v>15</v>
      </c>
      <c r="F483" s="3">
        <v>150</v>
      </c>
      <c r="G483" s="3">
        <v>2250</v>
      </c>
      <c r="H483" s="3">
        <v>0.12</v>
      </c>
      <c r="I483" s="3">
        <v>270</v>
      </c>
      <c r="J483" s="3" t="s">
        <v>17</v>
      </c>
    </row>
    <row r="484" spans="1:10" x14ac:dyDescent="0.35">
      <c r="A484" s="3" t="s">
        <v>514</v>
      </c>
      <c r="B484" s="4">
        <v>43295</v>
      </c>
      <c r="C484" s="3" t="s">
        <v>34</v>
      </c>
      <c r="D484" s="3" t="s">
        <v>24</v>
      </c>
      <c r="E484" s="3">
        <v>20</v>
      </c>
      <c r="F484" s="3">
        <v>150</v>
      </c>
      <c r="G484" s="3">
        <v>3000</v>
      </c>
      <c r="H484" s="3">
        <v>0.12</v>
      </c>
      <c r="I484" s="3">
        <v>360</v>
      </c>
      <c r="J484" s="3" t="s">
        <v>20</v>
      </c>
    </row>
    <row r="485" spans="1:10" x14ac:dyDescent="0.35">
      <c r="A485" s="3" t="s">
        <v>515</v>
      </c>
      <c r="B485" s="4">
        <v>43295</v>
      </c>
      <c r="C485" s="3" t="s">
        <v>15</v>
      </c>
      <c r="D485" s="3" t="s">
        <v>27</v>
      </c>
      <c r="E485" s="3">
        <v>13</v>
      </c>
      <c r="F485" s="3">
        <v>40</v>
      </c>
      <c r="G485" s="3">
        <v>520</v>
      </c>
      <c r="H485" s="3">
        <v>0.09</v>
      </c>
      <c r="I485" s="3">
        <v>46.8</v>
      </c>
      <c r="J485" s="3" t="s">
        <v>22</v>
      </c>
    </row>
    <row r="486" spans="1:10" x14ac:dyDescent="0.35">
      <c r="A486" s="3" t="s">
        <v>516</v>
      </c>
      <c r="B486" s="4">
        <v>43296</v>
      </c>
      <c r="C486" s="3" t="s">
        <v>30</v>
      </c>
      <c r="D486" s="3" t="s">
        <v>24</v>
      </c>
      <c r="E486" s="3">
        <v>11</v>
      </c>
      <c r="F486" s="3">
        <v>16</v>
      </c>
      <c r="G486" s="3">
        <v>176</v>
      </c>
      <c r="H486" s="3">
        <v>0.04</v>
      </c>
      <c r="I486" s="3">
        <v>7.04</v>
      </c>
      <c r="J486" s="3" t="s">
        <v>25</v>
      </c>
    </row>
    <row r="487" spans="1:10" x14ac:dyDescent="0.35">
      <c r="A487" s="3" t="s">
        <v>517</v>
      </c>
      <c r="B487" s="4">
        <v>43296</v>
      </c>
      <c r="C487" s="3" t="s">
        <v>34</v>
      </c>
      <c r="D487" s="3" t="s">
        <v>24</v>
      </c>
      <c r="E487" s="3">
        <v>20</v>
      </c>
      <c r="F487" s="3">
        <v>150</v>
      </c>
      <c r="G487" s="3">
        <v>3000</v>
      </c>
      <c r="H487" s="3">
        <v>0.04</v>
      </c>
      <c r="I487" s="3">
        <v>120</v>
      </c>
      <c r="J487" s="3" t="s">
        <v>28</v>
      </c>
    </row>
    <row r="488" spans="1:10" x14ac:dyDescent="0.35">
      <c r="A488" s="3" t="s">
        <v>518</v>
      </c>
      <c r="B488" s="4">
        <v>43296</v>
      </c>
      <c r="C488" s="3" t="s">
        <v>15</v>
      </c>
      <c r="D488" s="3" t="s">
        <v>12</v>
      </c>
      <c r="E488" s="3">
        <v>18</v>
      </c>
      <c r="F488" s="3">
        <v>40</v>
      </c>
      <c r="G488" s="3">
        <v>720</v>
      </c>
      <c r="H488" s="3">
        <v>0.11</v>
      </c>
      <c r="I488" s="3">
        <v>79.2</v>
      </c>
      <c r="J488" s="3" t="s">
        <v>32</v>
      </c>
    </row>
    <row r="489" spans="1:10" x14ac:dyDescent="0.35">
      <c r="A489" s="3" t="s">
        <v>519</v>
      </c>
      <c r="B489" s="4">
        <v>43296</v>
      </c>
      <c r="C489" s="3" t="s">
        <v>15</v>
      </c>
      <c r="D489" s="3" t="s">
        <v>24</v>
      </c>
      <c r="E489" s="3">
        <v>2</v>
      </c>
      <c r="F489" s="3">
        <v>40</v>
      </c>
      <c r="G489" s="3">
        <v>80</v>
      </c>
      <c r="H489" s="3">
        <v>0.03</v>
      </c>
      <c r="I489" s="3">
        <v>2.4</v>
      </c>
      <c r="J489" s="3" t="s">
        <v>35</v>
      </c>
    </row>
    <row r="490" spans="1:10" x14ac:dyDescent="0.35">
      <c r="A490" s="3" t="s">
        <v>520</v>
      </c>
      <c r="B490" s="4">
        <v>43296</v>
      </c>
      <c r="C490" s="3" t="s">
        <v>30</v>
      </c>
      <c r="D490" s="3" t="s">
        <v>27</v>
      </c>
      <c r="E490" s="3">
        <v>15</v>
      </c>
      <c r="F490" s="3">
        <v>16</v>
      </c>
      <c r="G490" s="3">
        <v>240</v>
      </c>
      <c r="H490" s="3">
        <v>0.12</v>
      </c>
      <c r="I490" s="3">
        <v>28.799999999999997</v>
      </c>
      <c r="J490" s="3" t="s">
        <v>37</v>
      </c>
    </row>
    <row r="491" spans="1:10" x14ac:dyDescent="0.35">
      <c r="A491" s="3" t="s">
        <v>521</v>
      </c>
      <c r="B491" s="4">
        <v>43296</v>
      </c>
      <c r="C491" s="3" t="s">
        <v>30</v>
      </c>
      <c r="D491" s="3" t="s">
        <v>24</v>
      </c>
      <c r="E491" s="3">
        <v>9</v>
      </c>
      <c r="F491" s="3">
        <v>16</v>
      </c>
      <c r="G491" s="3">
        <v>144</v>
      </c>
      <c r="H491" s="3">
        <v>0.05</v>
      </c>
      <c r="I491" s="3">
        <v>7.2</v>
      </c>
      <c r="J491" s="3" t="s">
        <v>39</v>
      </c>
    </row>
    <row r="492" spans="1:10" x14ac:dyDescent="0.35">
      <c r="A492" s="3" t="s">
        <v>522</v>
      </c>
      <c r="B492" s="4">
        <v>43296</v>
      </c>
      <c r="C492" s="3" t="s">
        <v>15</v>
      </c>
      <c r="D492" s="3" t="s">
        <v>31</v>
      </c>
      <c r="E492" s="3">
        <v>7</v>
      </c>
      <c r="F492" s="3">
        <v>40</v>
      </c>
      <c r="G492" s="3">
        <v>280</v>
      </c>
      <c r="H492" s="3">
        <v>0.05</v>
      </c>
      <c r="I492" s="3">
        <v>14</v>
      </c>
      <c r="J492" s="3" t="s">
        <v>13</v>
      </c>
    </row>
    <row r="493" spans="1:10" x14ac:dyDescent="0.35">
      <c r="A493" s="3" t="s">
        <v>523</v>
      </c>
      <c r="B493" s="4">
        <v>43296</v>
      </c>
      <c r="C493" s="3" t="s">
        <v>34</v>
      </c>
      <c r="D493" s="3" t="s">
        <v>31</v>
      </c>
      <c r="E493" s="3">
        <v>4</v>
      </c>
      <c r="F493" s="3">
        <v>150</v>
      </c>
      <c r="G493" s="3">
        <v>600</v>
      </c>
      <c r="H493" s="3">
        <v>0.05</v>
      </c>
      <c r="I493" s="3">
        <v>30</v>
      </c>
      <c r="J493" s="3" t="s">
        <v>17</v>
      </c>
    </row>
    <row r="494" spans="1:10" x14ac:dyDescent="0.35">
      <c r="A494" s="3" t="s">
        <v>524</v>
      </c>
      <c r="B494" s="4">
        <v>43296</v>
      </c>
      <c r="C494" s="3" t="s">
        <v>19</v>
      </c>
      <c r="D494" s="3" t="s">
        <v>12</v>
      </c>
      <c r="E494" s="3">
        <v>15</v>
      </c>
      <c r="F494" s="3">
        <v>230</v>
      </c>
      <c r="G494" s="3">
        <v>3450</v>
      </c>
      <c r="H494" s="3">
        <v>0.05</v>
      </c>
      <c r="I494" s="3">
        <v>172.5</v>
      </c>
      <c r="J494" s="3" t="s">
        <v>20</v>
      </c>
    </row>
    <row r="495" spans="1:10" x14ac:dyDescent="0.35">
      <c r="A495" s="3" t="s">
        <v>525</v>
      </c>
      <c r="B495" s="4">
        <v>43297</v>
      </c>
      <c r="C495" s="3" t="s">
        <v>15</v>
      </c>
      <c r="D495" s="3" t="s">
        <v>16</v>
      </c>
      <c r="E495" s="3">
        <v>12</v>
      </c>
      <c r="F495" s="3">
        <v>40</v>
      </c>
      <c r="G495" s="3">
        <v>480</v>
      </c>
      <c r="H495" s="3">
        <v>0.1</v>
      </c>
      <c r="I495" s="3">
        <v>48</v>
      </c>
      <c r="J495" s="3" t="s">
        <v>22</v>
      </c>
    </row>
    <row r="496" spans="1:10" x14ac:dyDescent="0.35">
      <c r="A496" s="3" t="s">
        <v>526</v>
      </c>
      <c r="B496" s="4">
        <v>43297</v>
      </c>
      <c r="C496" s="3" t="s">
        <v>19</v>
      </c>
      <c r="D496" s="3" t="s">
        <v>27</v>
      </c>
      <c r="E496" s="3">
        <v>23</v>
      </c>
      <c r="F496" s="3">
        <v>230</v>
      </c>
      <c r="G496" s="3">
        <v>5290</v>
      </c>
      <c r="H496" s="3">
        <v>0.06</v>
      </c>
      <c r="I496" s="3">
        <v>317.39999999999998</v>
      </c>
      <c r="J496" s="3" t="s">
        <v>25</v>
      </c>
    </row>
    <row r="497" spans="1:10" x14ac:dyDescent="0.35">
      <c r="A497" s="3" t="s">
        <v>527</v>
      </c>
      <c r="B497" s="4">
        <v>43297</v>
      </c>
      <c r="C497" s="3" t="s">
        <v>30</v>
      </c>
      <c r="D497" s="3" t="s">
        <v>12</v>
      </c>
      <c r="E497" s="3">
        <v>11</v>
      </c>
      <c r="F497" s="3">
        <v>16</v>
      </c>
      <c r="G497" s="3">
        <v>176</v>
      </c>
      <c r="H497" s="3">
        <v>0.09</v>
      </c>
      <c r="I497" s="3">
        <v>15.84</v>
      </c>
      <c r="J497" s="3" t="s">
        <v>28</v>
      </c>
    </row>
    <row r="498" spans="1:10" x14ac:dyDescent="0.35">
      <c r="A498" s="3" t="s">
        <v>528</v>
      </c>
      <c r="B498" s="4">
        <v>43297</v>
      </c>
      <c r="C498" s="3" t="s">
        <v>34</v>
      </c>
      <c r="D498" s="3" t="s">
        <v>12</v>
      </c>
      <c r="E498" s="3">
        <v>9</v>
      </c>
      <c r="F498" s="3">
        <v>150</v>
      </c>
      <c r="G498" s="3">
        <v>1350</v>
      </c>
      <c r="H498" s="3">
        <v>0.1</v>
      </c>
      <c r="I498" s="3">
        <v>135</v>
      </c>
      <c r="J498" s="3" t="s">
        <v>32</v>
      </c>
    </row>
    <row r="499" spans="1:10" x14ac:dyDescent="0.35">
      <c r="A499" s="3" t="s">
        <v>529</v>
      </c>
      <c r="B499" s="4">
        <v>43297</v>
      </c>
      <c r="C499" s="3" t="s">
        <v>11</v>
      </c>
      <c r="D499" s="3" t="s">
        <v>12</v>
      </c>
      <c r="E499" s="3">
        <v>18</v>
      </c>
      <c r="F499" s="3">
        <v>80</v>
      </c>
      <c r="G499" s="3">
        <v>1440</v>
      </c>
      <c r="H499" s="3">
        <v>0.02</v>
      </c>
      <c r="I499" s="3">
        <v>28.8</v>
      </c>
      <c r="J499" s="3" t="s">
        <v>35</v>
      </c>
    </row>
    <row r="500" spans="1:10" x14ac:dyDescent="0.35">
      <c r="A500" s="3" t="s">
        <v>530</v>
      </c>
      <c r="B500" s="4">
        <v>43297</v>
      </c>
      <c r="C500" s="3" t="s">
        <v>15</v>
      </c>
      <c r="D500" s="3" t="s">
        <v>31</v>
      </c>
      <c r="E500" s="3">
        <v>23</v>
      </c>
      <c r="F500" s="3">
        <v>40</v>
      </c>
      <c r="G500" s="3">
        <v>920</v>
      </c>
      <c r="H500" s="3">
        <v>0.04</v>
      </c>
      <c r="I500" s="3">
        <v>36.800000000000004</v>
      </c>
      <c r="J500" s="3" t="s">
        <v>37</v>
      </c>
    </row>
    <row r="501" spans="1:10" x14ac:dyDescent="0.35">
      <c r="A501" s="3" t="s">
        <v>531</v>
      </c>
      <c r="B501" s="4">
        <v>43297</v>
      </c>
      <c r="C501" s="3" t="s">
        <v>30</v>
      </c>
      <c r="D501" s="3" t="s">
        <v>31</v>
      </c>
      <c r="E501" s="3">
        <v>17</v>
      </c>
      <c r="F501" s="3">
        <v>16</v>
      </c>
      <c r="G501" s="3">
        <v>272</v>
      </c>
      <c r="H501" s="3">
        <v>0.1</v>
      </c>
      <c r="I501" s="3">
        <v>27.200000000000003</v>
      </c>
      <c r="J501" s="3" t="s">
        <v>39</v>
      </c>
    </row>
    <row r="502" spans="1:10" x14ac:dyDescent="0.35">
      <c r="A502" s="3" t="s">
        <v>532</v>
      </c>
      <c r="B502" s="4">
        <v>43297</v>
      </c>
      <c r="C502" s="3" t="s">
        <v>34</v>
      </c>
      <c r="D502" s="3" t="s">
        <v>31</v>
      </c>
      <c r="E502" s="3">
        <v>17</v>
      </c>
      <c r="F502" s="3">
        <v>150</v>
      </c>
      <c r="G502" s="3">
        <v>2550</v>
      </c>
      <c r="H502" s="3">
        <v>0.02</v>
      </c>
      <c r="I502" s="3">
        <v>51</v>
      </c>
      <c r="J502" s="3" t="s">
        <v>41</v>
      </c>
    </row>
    <row r="503" spans="1:10" x14ac:dyDescent="0.35">
      <c r="A503" s="3" t="s">
        <v>533</v>
      </c>
      <c r="B503" s="4">
        <v>43297</v>
      </c>
      <c r="C503" s="3" t="s">
        <v>11</v>
      </c>
      <c r="D503" s="3" t="s">
        <v>27</v>
      </c>
      <c r="E503" s="3">
        <v>21</v>
      </c>
      <c r="F503" s="3">
        <v>80</v>
      </c>
      <c r="G503" s="3">
        <v>1680</v>
      </c>
      <c r="H503" s="3">
        <v>0.02</v>
      </c>
      <c r="I503" s="3">
        <v>33.6</v>
      </c>
      <c r="J503" s="3" t="s">
        <v>43</v>
      </c>
    </row>
    <row r="504" spans="1:10" x14ac:dyDescent="0.35">
      <c r="A504" s="3" t="s">
        <v>534</v>
      </c>
      <c r="B504" s="4">
        <v>43297</v>
      </c>
      <c r="C504" s="3" t="s">
        <v>15</v>
      </c>
      <c r="D504" s="3" t="s">
        <v>27</v>
      </c>
      <c r="E504" s="3">
        <v>11</v>
      </c>
      <c r="F504" s="3">
        <v>40</v>
      </c>
      <c r="G504" s="3">
        <v>440</v>
      </c>
      <c r="H504" s="3">
        <v>0.06</v>
      </c>
      <c r="I504" s="3">
        <v>26.4</v>
      </c>
      <c r="J504" s="3" t="s">
        <v>13</v>
      </c>
    </row>
    <row r="505" spans="1:10" x14ac:dyDescent="0.35">
      <c r="A505" s="3" t="s">
        <v>535</v>
      </c>
      <c r="B505" s="4">
        <v>43297</v>
      </c>
      <c r="C505" s="3" t="s">
        <v>15</v>
      </c>
      <c r="D505" s="3" t="s">
        <v>12</v>
      </c>
      <c r="E505" s="3">
        <v>19</v>
      </c>
      <c r="F505" s="3">
        <v>40</v>
      </c>
      <c r="G505" s="3">
        <v>760</v>
      </c>
      <c r="H505" s="3">
        <v>0.04</v>
      </c>
      <c r="I505" s="3">
        <v>30.400000000000002</v>
      </c>
      <c r="J505" s="3" t="s">
        <v>17</v>
      </c>
    </row>
    <row r="506" spans="1:10" x14ac:dyDescent="0.35">
      <c r="A506" s="3" t="s">
        <v>536</v>
      </c>
      <c r="B506" s="4">
        <v>43297</v>
      </c>
      <c r="C506" s="3" t="s">
        <v>15</v>
      </c>
      <c r="D506" s="3" t="s">
        <v>12</v>
      </c>
      <c r="E506" s="3">
        <v>23</v>
      </c>
      <c r="F506" s="3">
        <v>40</v>
      </c>
      <c r="G506" s="3">
        <v>920</v>
      </c>
      <c r="H506" s="3">
        <v>0.03</v>
      </c>
      <c r="I506" s="3">
        <v>27.599999999999998</v>
      </c>
      <c r="J506" s="3" t="s">
        <v>20</v>
      </c>
    </row>
    <row r="507" spans="1:10" x14ac:dyDescent="0.35">
      <c r="A507" s="3" t="s">
        <v>537</v>
      </c>
      <c r="B507" s="4">
        <v>43297</v>
      </c>
      <c r="C507" s="3" t="s">
        <v>19</v>
      </c>
      <c r="D507" s="3" t="s">
        <v>16</v>
      </c>
      <c r="E507" s="3">
        <v>14</v>
      </c>
      <c r="F507" s="3">
        <v>230</v>
      </c>
      <c r="G507" s="3">
        <v>3220</v>
      </c>
      <c r="H507" s="3">
        <v>0.05</v>
      </c>
      <c r="I507" s="3">
        <v>161</v>
      </c>
      <c r="J507" s="3" t="s">
        <v>22</v>
      </c>
    </row>
    <row r="508" spans="1:10" x14ac:dyDescent="0.35">
      <c r="A508" s="3" t="s">
        <v>538</v>
      </c>
      <c r="B508" s="4">
        <v>43297</v>
      </c>
      <c r="C508" s="3" t="s">
        <v>15</v>
      </c>
      <c r="D508" s="3" t="s">
        <v>24</v>
      </c>
      <c r="E508" s="3">
        <v>18</v>
      </c>
      <c r="F508" s="3">
        <v>40</v>
      </c>
      <c r="G508" s="3">
        <v>720</v>
      </c>
      <c r="H508" s="3">
        <v>0.03</v>
      </c>
      <c r="I508" s="3">
        <v>21.599999999999998</v>
      </c>
      <c r="J508" s="3" t="s">
        <v>25</v>
      </c>
    </row>
    <row r="509" spans="1:10" x14ac:dyDescent="0.35">
      <c r="A509" s="3" t="s">
        <v>539</v>
      </c>
      <c r="B509" s="4">
        <v>43297</v>
      </c>
      <c r="C509" s="3" t="s">
        <v>34</v>
      </c>
      <c r="D509" s="3" t="s">
        <v>16</v>
      </c>
      <c r="E509" s="3">
        <v>2</v>
      </c>
      <c r="F509" s="3">
        <v>150</v>
      </c>
      <c r="G509" s="3">
        <v>300</v>
      </c>
      <c r="H509" s="3">
        <v>0.09</v>
      </c>
      <c r="I509" s="3">
        <v>27</v>
      </c>
      <c r="J509" s="3" t="s">
        <v>28</v>
      </c>
    </row>
    <row r="510" spans="1:10" x14ac:dyDescent="0.35">
      <c r="A510" s="3" t="s">
        <v>540</v>
      </c>
      <c r="B510" s="4">
        <v>43297</v>
      </c>
      <c r="C510" s="3" t="s">
        <v>19</v>
      </c>
      <c r="D510" s="3" t="s">
        <v>16</v>
      </c>
      <c r="E510" s="3">
        <v>7</v>
      </c>
      <c r="F510" s="3">
        <v>230</v>
      </c>
      <c r="G510" s="3">
        <v>1610</v>
      </c>
      <c r="H510" s="3">
        <v>0.05</v>
      </c>
      <c r="I510" s="3">
        <v>80.5</v>
      </c>
      <c r="J510" s="3" t="s">
        <v>32</v>
      </c>
    </row>
    <row r="511" spans="1:10" x14ac:dyDescent="0.35">
      <c r="A511" s="3" t="s">
        <v>541</v>
      </c>
      <c r="B511" s="4">
        <v>43298</v>
      </c>
      <c r="C511" s="3" t="s">
        <v>34</v>
      </c>
      <c r="D511" s="3" t="s">
        <v>24</v>
      </c>
      <c r="E511" s="3">
        <v>9</v>
      </c>
      <c r="F511" s="3">
        <v>150</v>
      </c>
      <c r="G511" s="3">
        <v>1350</v>
      </c>
      <c r="H511" s="3">
        <v>0.02</v>
      </c>
      <c r="I511" s="3">
        <v>27</v>
      </c>
      <c r="J511" s="3" t="s">
        <v>35</v>
      </c>
    </row>
    <row r="512" spans="1:10" x14ac:dyDescent="0.35">
      <c r="A512" s="3" t="s">
        <v>542</v>
      </c>
      <c r="B512" s="4">
        <v>43298</v>
      </c>
      <c r="C512" s="3" t="s">
        <v>15</v>
      </c>
      <c r="D512" s="3" t="s">
        <v>31</v>
      </c>
      <c r="E512" s="3">
        <v>3</v>
      </c>
      <c r="F512" s="3">
        <v>40</v>
      </c>
      <c r="G512" s="3">
        <v>120</v>
      </c>
      <c r="H512" s="3">
        <v>0.03</v>
      </c>
      <c r="I512" s="3">
        <v>3.5999999999999996</v>
      </c>
      <c r="J512" s="3" t="s">
        <v>37</v>
      </c>
    </row>
    <row r="513" spans="1:10" x14ac:dyDescent="0.35">
      <c r="A513" s="3" t="s">
        <v>543</v>
      </c>
      <c r="B513" s="4">
        <v>43298</v>
      </c>
      <c r="C513" s="3" t="s">
        <v>11</v>
      </c>
      <c r="D513" s="3" t="s">
        <v>27</v>
      </c>
      <c r="E513" s="3">
        <v>2</v>
      </c>
      <c r="F513" s="3">
        <v>80</v>
      </c>
      <c r="G513" s="3">
        <v>160</v>
      </c>
      <c r="H513" s="3">
        <v>0.08</v>
      </c>
      <c r="I513" s="3">
        <v>12.8</v>
      </c>
      <c r="J513" s="3" t="s">
        <v>39</v>
      </c>
    </row>
    <row r="514" spans="1:10" x14ac:dyDescent="0.35">
      <c r="A514" s="3" t="s">
        <v>544</v>
      </c>
      <c r="B514" s="4">
        <v>43298</v>
      </c>
      <c r="C514" s="3" t="s">
        <v>30</v>
      </c>
      <c r="D514" s="3" t="s">
        <v>31</v>
      </c>
      <c r="E514" s="3">
        <v>19</v>
      </c>
      <c r="F514" s="3">
        <v>16</v>
      </c>
      <c r="G514" s="3">
        <v>304</v>
      </c>
      <c r="H514" s="3">
        <v>0.02</v>
      </c>
      <c r="I514" s="3">
        <v>6.08</v>
      </c>
      <c r="J514" s="3" t="s">
        <v>41</v>
      </c>
    </row>
    <row r="515" spans="1:10" x14ac:dyDescent="0.35">
      <c r="A515" s="3" t="s">
        <v>545</v>
      </c>
      <c r="B515" s="4">
        <v>43298</v>
      </c>
      <c r="C515" s="3" t="s">
        <v>30</v>
      </c>
      <c r="D515" s="3" t="s">
        <v>16</v>
      </c>
      <c r="E515" s="3">
        <v>21</v>
      </c>
      <c r="F515" s="3">
        <v>16</v>
      </c>
      <c r="G515" s="3">
        <v>336</v>
      </c>
      <c r="H515" s="3">
        <v>0.02</v>
      </c>
      <c r="I515" s="3">
        <v>6.72</v>
      </c>
      <c r="J515" s="3" t="s">
        <v>43</v>
      </c>
    </row>
    <row r="516" spans="1:10" x14ac:dyDescent="0.35">
      <c r="A516" s="3" t="s">
        <v>546</v>
      </c>
      <c r="B516" s="4">
        <v>43298</v>
      </c>
      <c r="C516" s="3" t="s">
        <v>11</v>
      </c>
      <c r="D516" s="3" t="s">
        <v>27</v>
      </c>
      <c r="E516" s="3">
        <v>21</v>
      </c>
      <c r="F516" s="3">
        <v>80</v>
      </c>
      <c r="G516" s="3">
        <v>1680</v>
      </c>
      <c r="H516" s="3">
        <v>0.05</v>
      </c>
      <c r="I516" s="3">
        <v>84</v>
      </c>
      <c r="J516" s="3" t="s">
        <v>13</v>
      </c>
    </row>
    <row r="517" spans="1:10" x14ac:dyDescent="0.35">
      <c r="A517" s="3" t="s">
        <v>547</v>
      </c>
      <c r="B517" s="4">
        <v>43298</v>
      </c>
      <c r="C517" s="3" t="s">
        <v>19</v>
      </c>
      <c r="D517" s="3" t="s">
        <v>31</v>
      </c>
      <c r="E517" s="3">
        <v>3</v>
      </c>
      <c r="F517" s="3">
        <v>230</v>
      </c>
      <c r="G517" s="3">
        <v>690</v>
      </c>
      <c r="H517" s="3">
        <v>0.1</v>
      </c>
      <c r="I517" s="3">
        <v>69</v>
      </c>
      <c r="J517" s="3" t="s">
        <v>17</v>
      </c>
    </row>
    <row r="518" spans="1:10" x14ac:dyDescent="0.35">
      <c r="A518" s="3" t="s">
        <v>548</v>
      </c>
      <c r="B518" s="4">
        <v>43298</v>
      </c>
      <c r="C518" s="3" t="s">
        <v>15</v>
      </c>
      <c r="D518" s="3" t="s">
        <v>24</v>
      </c>
      <c r="E518" s="3">
        <v>4</v>
      </c>
      <c r="F518" s="3">
        <v>40</v>
      </c>
      <c r="G518" s="3">
        <v>160</v>
      </c>
      <c r="H518" s="3">
        <v>0.11</v>
      </c>
      <c r="I518" s="3">
        <v>17.600000000000001</v>
      </c>
      <c r="J518" s="3" t="s">
        <v>20</v>
      </c>
    </row>
    <row r="519" spans="1:10" x14ac:dyDescent="0.35">
      <c r="A519" s="3" t="s">
        <v>549</v>
      </c>
      <c r="B519" s="4">
        <v>43298</v>
      </c>
      <c r="C519" s="3" t="s">
        <v>34</v>
      </c>
      <c r="D519" s="3" t="s">
        <v>31</v>
      </c>
      <c r="E519" s="3">
        <v>7</v>
      </c>
      <c r="F519" s="3">
        <v>150</v>
      </c>
      <c r="G519" s="3">
        <v>1050</v>
      </c>
      <c r="H519" s="3">
        <v>0.03</v>
      </c>
      <c r="I519" s="3">
        <v>31.5</v>
      </c>
      <c r="J519" s="3" t="s">
        <v>22</v>
      </c>
    </row>
    <row r="520" spans="1:10" x14ac:dyDescent="0.35">
      <c r="A520" s="3" t="s">
        <v>550</v>
      </c>
      <c r="B520" s="4">
        <v>43298</v>
      </c>
      <c r="C520" s="3" t="s">
        <v>30</v>
      </c>
      <c r="D520" s="3" t="s">
        <v>24</v>
      </c>
      <c r="E520" s="3">
        <v>11</v>
      </c>
      <c r="F520" s="3">
        <v>16</v>
      </c>
      <c r="G520" s="3">
        <v>176</v>
      </c>
      <c r="H520" s="3">
        <v>0.12</v>
      </c>
      <c r="I520" s="3">
        <v>21.119999999999997</v>
      </c>
      <c r="J520" s="3" t="s">
        <v>25</v>
      </c>
    </row>
    <row r="521" spans="1:10" x14ac:dyDescent="0.35">
      <c r="A521" s="3" t="s">
        <v>551</v>
      </c>
      <c r="B521" s="4">
        <v>43298</v>
      </c>
      <c r="C521" s="3" t="s">
        <v>11</v>
      </c>
      <c r="D521" s="3" t="s">
        <v>12</v>
      </c>
      <c r="E521" s="3">
        <v>17</v>
      </c>
      <c r="F521" s="3">
        <v>80</v>
      </c>
      <c r="G521" s="3">
        <v>1360</v>
      </c>
      <c r="H521" s="3">
        <v>7.0000000000000007E-2</v>
      </c>
      <c r="I521" s="3">
        <v>95.2</v>
      </c>
      <c r="J521" s="3" t="s">
        <v>28</v>
      </c>
    </row>
    <row r="522" spans="1:10" x14ac:dyDescent="0.35">
      <c r="A522" s="3" t="s">
        <v>552</v>
      </c>
      <c r="B522" s="4">
        <v>43298</v>
      </c>
      <c r="C522" s="3" t="s">
        <v>30</v>
      </c>
      <c r="D522" s="3" t="s">
        <v>27</v>
      </c>
      <c r="E522" s="3">
        <v>5</v>
      </c>
      <c r="F522" s="3">
        <v>16</v>
      </c>
      <c r="G522" s="3">
        <v>80</v>
      </c>
      <c r="H522" s="3">
        <v>0.09</v>
      </c>
      <c r="I522" s="3">
        <v>7.1999999999999993</v>
      </c>
      <c r="J522" s="3" t="s">
        <v>32</v>
      </c>
    </row>
    <row r="523" spans="1:10" x14ac:dyDescent="0.35">
      <c r="A523" s="3" t="s">
        <v>553</v>
      </c>
      <c r="B523" s="4">
        <v>43298</v>
      </c>
      <c r="C523" s="3" t="s">
        <v>30</v>
      </c>
      <c r="D523" s="3" t="s">
        <v>31</v>
      </c>
      <c r="E523" s="3">
        <v>13</v>
      </c>
      <c r="F523" s="3">
        <v>16</v>
      </c>
      <c r="G523" s="3">
        <v>208</v>
      </c>
      <c r="H523" s="3">
        <v>7.0000000000000007E-2</v>
      </c>
      <c r="I523" s="3">
        <v>14.560000000000002</v>
      </c>
      <c r="J523" s="3" t="s">
        <v>35</v>
      </c>
    </row>
    <row r="524" spans="1:10" x14ac:dyDescent="0.35">
      <c r="A524" s="3" t="s">
        <v>554</v>
      </c>
      <c r="B524" s="4">
        <v>43298</v>
      </c>
      <c r="C524" s="3" t="s">
        <v>11</v>
      </c>
      <c r="D524" s="3" t="s">
        <v>31</v>
      </c>
      <c r="E524" s="3">
        <v>9</v>
      </c>
      <c r="F524" s="3">
        <v>80</v>
      </c>
      <c r="G524" s="3">
        <v>720</v>
      </c>
      <c r="H524" s="3">
        <v>0.02</v>
      </c>
      <c r="I524" s="3">
        <v>14.4</v>
      </c>
      <c r="J524" s="3" t="s">
        <v>37</v>
      </c>
    </row>
    <row r="525" spans="1:10" x14ac:dyDescent="0.35">
      <c r="A525" s="3" t="s">
        <v>555</v>
      </c>
      <c r="B525" s="4">
        <v>43299</v>
      </c>
      <c r="C525" s="3" t="s">
        <v>11</v>
      </c>
      <c r="D525" s="3" t="s">
        <v>31</v>
      </c>
      <c r="E525" s="3">
        <v>9</v>
      </c>
      <c r="F525" s="3">
        <v>80</v>
      </c>
      <c r="G525" s="3">
        <v>720</v>
      </c>
      <c r="H525" s="3">
        <v>0.02</v>
      </c>
      <c r="I525" s="3">
        <v>14.4</v>
      </c>
      <c r="J525" s="3" t="s">
        <v>39</v>
      </c>
    </row>
    <row r="526" spans="1:10" x14ac:dyDescent="0.35">
      <c r="A526" s="3" t="s">
        <v>556</v>
      </c>
      <c r="B526" s="4">
        <v>43299</v>
      </c>
      <c r="C526" s="3" t="s">
        <v>11</v>
      </c>
      <c r="D526" s="3" t="s">
        <v>27</v>
      </c>
      <c r="E526" s="3">
        <v>22</v>
      </c>
      <c r="F526" s="3">
        <v>80</v>
      </c>
      <c r="G526" s="3">
        <v>1760</v>
      </c>
      <c r="H526" s="3">
        <v>0.03</v>
      </c>
      <c r="I526" s="3">
        <v>52.8</v>
      </c>
      <c r="J526" s="3" t="s">
        <v>41</v>
      </c>
    </row>
    <row r="527" spans="1:10" x14ac:dyDescent="0.35">
      <c r="A527" s="3" t="s">
        <v>557</v>
      </c>
      <c r="B527" s="4">
        <v>43299</v>
      </c>
      <c r="C527" s="3" t="s">
        <v>34</v>
      </c>
      <c r="D527" s="3" t="s">
        <v>12</v>
      </c>
      <c r="E527" s="3">
        <v>13</v>
      </c>
      <c r="F527" s="3">
        <v>150</v>
      </c>
      <c r="G527" s="3">
        <v>1950</v>
      </c>
      <c r="H527" s="3">
        <v>0.05</v>
      </c>
      <c r="I527" s="3">
        <v>97.5</v>
      </c>
      <c r="J527" s="3" t="s">
        <v>43</v>
      </c>
    </row>
    <row r="528" spans="1:10" x14ac:dyDescent="0.35">
      <c r="A528" s="3" t="s">
        <v>558</v>
      </c>
      <c r="B528" s="4">
        <v>43299</v>
      </c>
      <c r="C528" s="3" t="s">
        <v>11</v>
      </c>
      <c r="D528" s="3" t="s">
        <v>12</v>
      </c>
      <c r="E528" s="3">
        <v>14</v>
      </c>
      <c r="F528" s="3">
        <v>80</v>
      </c>
      <c r="G528" s="3">
        <v>1120</v>
      </c>
      <c r="H528" s="3">
        <v>0.08</v>
      </c>
      <c r="I528" s="3">
        <v>89.600000000000009</v>
      </c>
      <c r="J528" s="3" t="s">
        <v>13</v>
      </c>
    </row>
    <row r="529" spans="1:10" x14ac:dyDescent="0.35">
      <c r="A529" s="3" t="s">
        <v>559</v>
      </c>
      <c r="B529" s="4">
        <v>43299</v>
      </c>
      <c r="C529" s="3" t="s">
        <v>11</v>
      </c>
      <c r="D529" s="3" t="s">
        <v>12</v>
      </c>
      <c r="E529" s="3">
        <v>6</v>
      </c>
      <c r="F529" s="3">
        <v>80</v>
      </c>
      <c r="G529" s="3">
        <v>480</v>
      </c>
      <c r="H529" s="3">
        <v>7.0000000000000007E-2</v>
      </c>
      <c r="I529" s="3">
        <v>33.6</v>
      </c>
      <c r="J529" s="3" t="s">
        <v>17</v>
      </c>
    </row>
    <row r="530" spans="1:10" x14ac:dyDescent="0.35">
      <c r="A530" s="3" t="s">
        <v>560</v>
      </c>
      <c r="B530" s="4">
        <v>43299</v>
      </c>
      <c r="C530" s="3" t="s">
        <v>11</v>
      </c>
      <c r="D530" s="3" t="s">
        <v>12</v>
      </c>
      <c r="E530" s="3">
        <v>16</v>
      </c>
      <c r="F530" s="3">
        <v>80</v>
      </c>
      <c r="G530" s="3">
        <v>1280</v>
      </c>
      <c r="H530" s="3">
        <v>0.03</v>
      </c>
      <c r="I530" s="3">
        <v>38.4</v>
      </c>
      <c r="J530" s="3" t="s">
        <v>20</v>
      </c>
    </row>
    <row r="531" spans="1:10" x14ac:dyDescent="0.35">
      <c r="A531" s="3" t="s">
        <v>561</v>
      </c>
      <c r="B531" s="4">
        <v>43299</v>
      </c>
      <c r="C531" s="3" t="s">
        <v>34</v>
      </c>
      <c r="D531" s="3" t="s">
        <v>24</v>
      </c>
      <c r="E531" s="3">
        <v>22</v>
      </c>
      <c r="F531" s="3">
        <v>150</v>
      </c>
      <c r="G531" s="3">
        <v>3300</v>
      </c>
      <c r="H531" s="3">
        <v>0.09</v>
      </c>
      <c r="I531" s="3">
        <v>297</v>
      </c>
      <c r="J531" s="3" t="s">
        <v>22</v>
      </c>
    </row>
    <row r="532" spans="1:10" x14ac:dyDescent="0.35">
      <c r="A532" s="3" t="s">
        <v>562</v>
      </c>
      <c r="B532" s="4">
        <v>43299</v>
      </c>
      <c r="C532" s="3" t="s">
        <v>34</v>
      </c>
      <c r="D532" s="3" t="s">
        <v>27</v>
      </c>
      <c r="E532" s="3">
        <v>4</v>
      </c>
      <c r="F532" s="3">
        <v>150</v>
      </c>
      <c r="G532" s="3">
        <v>600</v>
      </c>
      <c r="H532" s="3">
        <v>0.12</v>
      </c>
      <c r="I532" s="3">
        <v>72</v>
      </c>
      <c r="J532" s="3" t="s">
        <v>25</v>
      </c>
    </row>
    <row r="533" spans="1:10" x14ac:dyDescent="0.35">
      <c r="A533" s="3" t="s">
        <v>563</v>
      </c>
      <c r="B533" s="4">
        <v>43299</v>
      </c>
      <c r="C533" s="3" t="s">
        <v>19</v>
      </c>
      <c r="D533" s="3" t="s">
        <v>31</v>
      </c>
      <c r="E533" s="3">
        <v>7</v>
      </c>
      <c r="F533" s="3">
        <v>230</v>
      </c>
      <c r="G533" s="3">
        <v>1610</v>
      </c>
      <c r="H533" s="3">
        <v>0.05</v>
      </c>
      <c r="I533" s="3">
        <v>80.5</v>
      </c>
      <c r="J533" s="3" t="s">
        <v>28</v>
      </c>
    </row>
    <row r="534" spans="1:10" x14ac:dyDescent="0.35">
      <c r="A534" s="3" t="s">
        <v>564</v>
      </c>
      <c r="B534" s="4">
        <v>43299</v>
      </c>
      <c r="C534" s="3" t="s">
        <v>34</v>
      </c>
      <c r="D534" s="3" t="s">
        <v>27</v>
      </c>
      <c r="E534" s="3">
        <v>20</v>
      </c>
      <c r="F534" s="3">
        <v>150</v>
      </c>
      <c r="G534" s="3">
        <v>3000</v>
      </c>
      <c r="H534" s="3">
        <v>0.1</v>
      </c>
      <c r="I534" s="3">
        <v>300</v>
      </c>
      <c r="J534" s="3" t="s">
        <v>32</v>
      </c>
    </row>
    <row r="535" spans="1:10" x14ac:dyDescent="0.35">
      <c r="A535" s="3" t="s">
        <v>565</v>
      </c>
      <c r="B535" s="4">
        <v>43299</v>
      </c>
      <c r="C535" s="3" t="s">
        <v>19</v>
      </c>
      <c r="D535" s="3" t="s">
        <v>27</v>
      </c>
      <c r="E535" s="3">
        <v>8</v>
      </c>
      <c r="F535" s="3">
        <v>230</v>
      </c>
      <c r="G535" s="3">
        <v>1840</v>
      </c>
      <c r="H535" s="3">
        <v>0.05</v>
      </c>
      <c r="I535" s="3">
        <v>92</v>
      </c>
      <c r="J535" s="3" t="s">
        <v>35</v>
      </c>
    </row>
    <row r="536" spans="1:10" x14ac:dyDescent="0.35">
      <c r="A536" s="3" t="s">
        <v>566</v>
      </c>
      <c r="B536" s="4">
        <v>43300</v>
      </c>
      <c r="C536" s="3" t="s">
        <v>15</v>
      </c>
      <c r="D536" s="3" t="s">
        <v>27</v>
      </c>
      <c r="E536" s="3">
        <v>9</v>
      </c>
      <c r="F536" s="3">
        <v>40</v>
      </c>
      <c r="G536" s="3">
        <v>360</v>
      </c>
      <c r="H536" s="3">
        <v>0.06</v>
      </c>
      <c r="I536" s="3">
        <v>21.599999999999998</v>
      </c>
      <c r="J536" s="3" t="s">
        <v>37</v>
      </c>
    </row>
    <row r="537" spans="1:10" x14ac:dyDescent="0.35">
      <c r="A537" s="3" t="s">
        <v>567</v>
      </c>
      <c r="B537" s="4">
        <v>43300</v>
      </c>
      <c r="C537" s="3" t="s">
        <v>19</v>
      </c>
      <c r="D537" s="3" t="s">
        <v>27</v>
      </c>
      <c r="E537" s="3">
        <v>19</v>
      </c>
      <c r="F537" s="3">
        <v>230</v>
      </c>
      <c r="G537" s="3">
        <v>4370</v>
      </c>
      <c r="H537" s="3">
        <v>0.06</v>
      </c>
      <c r="I537" s="3">
        <v>262.2</v>
      </c>
      <c r="J537" s="3" t="s">
        <v>39</v>
      </c>
    </row>
    <row r="538" spans="1:10" x14ac:dyDescent="0.35">
      <c r="A538" s="3" t="s">
        <v>568</v>
      </c>
      <c r="B538" s="4">
        <v>43300</v>
      </c>
      <c r="C538" s="3" t="s">
        <v>15</v>
      </c>
      <c r="D538" s="3" t="s">
        <v>27</v>
      </c>
      <c r="E538" s="3">
        <v>22</v>
      </c>
      <c r="F538" s="3">
        <v>40</v>
      </c>
      <c r="G538" s="3">
        <v>880</v>
      </c>
      <c r="H538" s="3">
        <v>0.01</v>
      </c>
      <c r="I538" s="3">
        <v>8.8000000000000007</v>
      </c>
      <c r="J538" s="3" t="s">
        <v>41</v>
      </c>
    </row>
    <row r="539" spans="1:10" x14ac:dyDescent="0.35">
      <c r="A539" s="3" t="s">
        <v>569</v>
      </c>
      <c r="B539" s="4">
        <v>43300</v>
      </c>
      <c r="C539" s="3" t="s">
        <v>15</v>
      </c>
      <c r="D539" s="3" t="s">
        <v>12</v>
      </c>
      <c r="E539" s="3">
        <v>22</v>
      </c>
      <c r="F539" s="3">
        <v>40</v>
      </c>
      <c r="G539" s="3">
        <v>880</v>
      </c>
      <c r="H539" s="3">
        <v>0.02</v>
      </c>
      <c r="I539" s="3">
        <v>17.600000000000001</v>
      </c>
      <c r="J539" s="3" t="s">
        <v>43</v>
      </c>
    </row>
    <row r="540" spans="1:10" x14ac:dyDescent="0.35">
      <c r="A540" s="3" t="s">
        <v>570</v>
      </c>
      <c r="B540" s="4">
        <v>43300</v>
      </c>
      <c r="C540" s="3" t="s">
        <v>11</v>
      </c>
      <c r="D540" s="3" t="s">
        <v>31</v>
      </c>
      <c r="E540" s="3">
        <v>10</v>
      </c>
      <c r="F540" s="3">
        <v>80</v>
      </c>
      <c r="G540" s="3">
        <v>800</v>
      </c>
      <c r="H540" s="3">
        <v>0.06</v>
      </c>
      <c r="I540" s="3">
        <v>48</v>
      </c>
      <c r="J540" s="3" t="s">
        <v>13</v>
      </c>
    </row>
    <row r="541" spans="1:10" x14ac:dyDescent="0.35">
      <c r="A541" s="3" t="s">
        <v>571</v>
      </c>
      <c r="B541" s="4">
        <v>43300</v>
      </c>
      <c r="C541" s="3" t="s">
        <v>15</v>
      </c>
      <c r="D541" s="3" t="s">
        <v>27</v>
      </c>
      <c r="E541" s="3">
        <v>7</v>
      </c>
      <c r="F541" s="3">
        <v>40</v>
      </c>
      <c r="G541" s="3">
        <v>280</v>
      </c>
      <c r="H541" s="3">
        <v>0.11</v>
      </c>
      <c r="I541" s="3">
        <v>30.8</v>
      </c>
      <c r="J541" s="3" t="s">
        <v>17</v>
      </c>
    </row>
    <row r="542" spans="1:10" x14ac:dyDescent="0.35">
      <c r="A542" s="3" t="s">
        <v>572</v>
      </c>
      <c r="B542" s="4">
        <v>43300</v>
      </c>
      <c r="C542" s="3" t="s">
        <v>19</v>
      </c>
      <c r="D542" s="3" t="s">
        <v>12</v>
      </c>
      <c r="E542" s="3">
        <v>7</v>
      </c>
      <c r="F542" s="3">
        <v>230</v>
      </c>
      <c r="G542" s="3">
        <v>1610</v>
      </c>
      <c r="H542" s="3">
        <v>0.08</v>
      </c>
      <c r="I542" s="3">
        <v>128.80000000000001</v>
      </c>
      <c r="J542" s="3" t="s">
        <v>20</v>
      </c>
    </row>
    <row r="543" spans="1:10" x14ac:dyDescent="0.35">
      <c r="A543" s="3" t="s">
        <v>573</v>
      </c>
      <c r="B543" s="4">
        <v>43300</v>
      </c>
      <c r="C543" s="3" t="s">
        <v>30</v>
      </c>
      <c r="D543" s="3" t="s">
        <v>12</v>
      </c>
      <c r="E543" s="3">
        <v>18</v>
      </c>
      <c r="F543" s="3">
        <v>16</v>
      </c>
      <c r="G543" s="3">
        <v>288</v>
      </c>
      <c r="H543" s="3">
        <v>0.11</v>
      </c>
      <c r="I543" s="3">
        <v>31.68</v>
      </c>
      <c r="J543" s="3" t="s">
        <v>22</v>
      </c>
    </row>
    <row r="544" spans="1:10" x14ac:dyDescent="0.35">
      <c r="A544" s="3" t="s">
        <v>574</v>
      </c>
      <c r="B544" s="4">
        <v>43300</v>
      </c>
      <c r="C544" s="3" t="s">
        <v>19</v>
      </c>
      <c r="D544" s="3" t="s">
        <v>24</v>
      </c>
      <c r="E544" s="3">
        <v>14</v>
      </c>
      <c r="F544" s="3">
        <v>230</v>
      </c>
      <c r="G544" s="3">
        <v>3220</v>
      </c>
      <c r="H544" s="3">
        <v>0.12</v>
      </c>
      <c r="I544" s="3">
        <v>386.4</v>
      </c>
      <c r="J544" s="3" t="s">
        <v>25</v>
      </c>
    </row>
    <row r="545" spans="1:10" x14ac:dyDescent="0.35">
      <c r="A545" s="3" t="s">
        <v>575</v>
      </c>
      <c r="B545" s="4">
        <v>43300</v>
      </c>
      <c r="C545" s="3" t="s">
        <v>15</v>
      </c>
      <c r="D545" s="3" t="s">
        <v>16</v>
      </c>
      <c r="E545" s="3">
        <v>21</v>
      </c>
      <c r="F545" s="3">
        <v>40</v>
      </c>
      <c r="G545" s="3">
        <v>840</v>
      </c>
      <c r="H545" s="3">
        <v>0.03</v>
      </c>
      <c r="I545" s="3">
        <v>25.2</v>
      </c>
      <c r="J545" s="3" t="s">
        <v>28</v>
      </c>
    </row>
    <row r="546" spans="1:10" x14ac:dyDescent="0.35">
      <c r="A546" s="3" t="s">
        <v>576</v>
      </c>
      <c r="B546" s="4">
        <v>43300</v>
      </c>
      <c r="C546" s="3" t="s">
        <v>34</v>
      </c>
      <c r="D546" s="3" t="s">
        <v>12</v>
      </c>
      <c r="E546" s="3">
        <v>3</v>
      </c>
      <c r="F546" s="3">
        <v>150</v>
      </c>
      <c r="G546" s="3">
        <v>450</v>
      </c>
      <c r="H546" s="3">
        <v>0.03</v>
      </c>
      <c r="I546" s="3">
        <v>13.5</v>
      </c>
      <c r="J546" s="3" t="s">
        <v>32</v>
      </c>
    </row>
    <row r="547" spans="1:10" x14ac:dyDescent="0.35">
      <c r="A547" s="3" t="s">
        <v>577</v>
      </c>
      <c r="B547" s="4">
        <v>43300</v>
      </c>
      <c r="C547" s="3" t="s">
        <v>11</v>
      </c>
      <c r="D547" s="3" t="s">
        <v>12</v>
      </c>
      <c r="E547" s="3">
        <v>12</v>
      </c>
      <c r="F547" s="3">
        <v>80</v>
      </c>
      <c r="G547" s="3">
        <v>960</v>
      </c>
      <c r="H547" s="3">
        <v>0.04</v>
      </c>
      <c r="I547" s="3">
        <v>38.4</v>
      </c>
      <c r="J547" s="3" t="s">
        <v>35</v>
      </c>
    </row>
    <row r="548" spans="1:10" x14ac:dyDescent="0.35">
      <c r="A548" s="3" t="s">
        <v>578</v>
      </c>
      <c r="B548" s="4">
        <v>43301</v>
      </c>
      <c r="C548" s="3" t="s">
        <v>34</v>
      </c>
      <c r="D548" s="3" t="s">
        <v>27</v>
      </c>
      <c r="E548" s="3">
        <v>6</v>
      </c>
      <c r="F548" s="3">
        <v>150</v>
      </c>
      <c r="G548" s="3">
        <v>900</v>
      </c>
      <c r="H548" s="3">
        <v>0.03</v>
      </c>
      <c r="I548" s="3">
        <v>27</v>
      </c>
      <c r="J548" s="3" t="s">
        <v>37</v>
      </c>
    </row>
    <row r="549" spans="1:10" x14ac:dyDescent="0.35">
      <c r="A549" s="3" t="s">
        <v>579</v>
      </c>
      <c r="B549" s="4">
        <v>43301</v>
      </c>
      <c r="C549" s="3" t="s">
        <v>15</v>
      </c>
      <c r="D549" s="3" t="s">
        <v>24</v>
      </c>
      <c r="E549" s="3">
        <v>20</v>
      </c>
      <c r="F549" s="3">
        <v>40</v>
      </c>
      <c r="G549" s="3">
        <v>800</v>
      </c>
      <c r="H549" s="3">
        <v>0.01</v>
      </c>
      <c r="I549" s="3">
        <v>8</v>
      </c>
      <c r="J549" s="3" t="s">
        <v>39</v>
      </c>
    </row>
    <row r="550" spans="1:10" x14ac:dyDescent="0.35">
      <c r="A550" s="3" t="s">
        <v>580</v>
      </c>
      <c r="B550" s="4">
        <v>43301</v>
      </c>
      <c r="C550" s="3" t="s">
        <v>19</v>
      </c>
      <c r="D550" s="3" t="s">
        <v>12</v>
      </c>
      <c r="E550" s="3">
        <v>3</v>
      </c>
      <c r="F550" s="3">
        <v>230</v>
      </c>
      <c r="G550" s="3">
        <v>690</v>
      </c>
      <c r="H550" s="3">
        <v>0.06</v>
      </c>
      <c r="I550" s="3">
        <v>41.4</v>
      </c>
      <c r="J550" s="3" t="s">
        <v>32</v>
      </c>
    </row>
    <row r="551" spans="1:10" x14ac:dyDescent="0.35">
      <c r="A551" s="3" t="s">
        <v>581</v>
      </c>
      <c r="B551" s="4">
        <v>43301</v>
      </c>
      <c r="C551" s="3" t="s">
        <v>19</v>
      </c>
      <c r="D551" s="3" t="s">
        <v>27</v>
      </c>
      <c r="E551" s="3">
        <v>3</v>
      </c>
      <c r="F551" s="3">
        <v>230</v>
      </c>
      <c r="G551" s="3">
        <v>690</v>
      </c>
      <c r="H551" s="3">
        <v>0.01</v>
      </c>
      <c r="I551" s="3">
        <v>6.9</v>
      </c>
      <c r="J551" s="3" t="s">
        <v>35</v>
      </c>
    </row>
    <row r="552" spans="1:10" x14ac:dyDescent="0.35">
      <c r="A552" s="3" t="s">
        <v>582</v>
      </c>
      <c r="B552" s="4">
        <v>43301</v>
      </c>
      <c r="C552" s="3" t="s">
        <v>15</v>
      </c>
      <c r="D552" s="3" t="s">
        <v>12</v>
      </c>
      <c r="E552" s="3">
        <v>20</v>
      </c>
      <c r="F552" s="3">
        <v>40</v>
      </c>
      <c r="G552" s="3">
        <v>800</v>
      </c>
      <c r="H552" s="3">
        <v>0.04</v>
      </c>
      <c r="I552" s="3">
        <v>32</v>
      </c>
      <c r="J552" s="3" t="s">
        <v>37</v>
      </c>
    </row>
    <row r="553" spans="1:10" x14ac:dyDescent="0.35">
      <c r="A553" s="3" t="s">
        <v>583</v>
      </c>
      <c r="B553" s="4">
        <v>43301</v>
      </c>
      <c r="C553" s="3" t="s">
        <v>11</v>
      </c>
      <c r="D553" s="3" t="s">
        <v>24</v>
      </c>
      <c r="E553" s="3">
        <v>16</v>
      </c>
      <c r="F553" s="3">
        <v>80</v>
      </c>
      <c r="G553" s="3">
        <v>1280</v>
      </c>
      <c r="H553" s="3">
        <v>0.02</v>
      </c>
      <c r="I553" s="3">
        <v>25.6</v>
      </c>
      <c r="J553" s="3" t="s">
        <v>39</v>
      </c>
    </row>
    <row r="554" spans="1:10" x14ac:dyDescent="0.35">
      <c r="A554" s="3" t="s">
        <v>584</v>
      </c>
      <c r="B554" s="4">
        <v>43301</v>
      </c>
      <c r="C554" s="3" t="s">
        <v>34</v>
      </c>
      <c r="D554" s="3" t="s">
        <v>12</v>
      </c>
      <c r="E554" s="3">
        <v>8</v>
      </c>
      <c r="F554" s="3">
        <v>150</v>
      </c>
      <c r="G554" s="3">
        <v>1200</v>
      </c>
      <c r="H554" s="3">
        <v>0.09</v>
      </c>
      <c r="I554" s="3">
        <v>108</v>
      </c>
      <c r="J554" s="3" t="s">
        <v>32</v>
      </c>
    </row>
    <row r="555" spans="1:10" x14ac:dyDescent="0.35">
      <c r="A555" s="3" t="s">
        <v>585</v>
      </c>
      <c r="B555" s="4">
        <v>43302</v>
      </c>
      <c r="C555" s="3" t="s">
        <v>19</v>
      </c>
      <c r="D555" s="3" t="s">
        <v>16</v>
      </c>
      <c r="E555" s="3">
        <v>7</v>
      </c>
      <c r="F555" s="3">
        <v>230</v>
      </c>
      <c r="G555" s="3">
        <v>1610</v>
      </c>
      <c r="H555" s="3">
        <v>0.01</v>
      </c>
      <c r="I555" s="3">
        <v>16.100000000000001</v>
      </c>
      <c r="J555" s="3" t="s">
        <v>35</v>
      </c>
    </row>
    <row r="556" spans="1:10" x14ac:dyDescent="0.35">
      <c r="A556" s="3" t="s">
        <v>586</v>
      </c>
      <c r="B556" s="4">
        <v>43302</v>
      </c>
      <c r="C556" s="3" t="s">
        <v>34</v>
      </c>
      <c r="D556" s="3" t="s">
        <v>16</v>
      </c>
      <c r="E556" s="3">
        <v>23</v>
      </c>
      <c r="F556" s="3">
        <v>150</v>
      </c>
      <c r="G556" s="3">
        <v>3450</v>
      </c>
      <c r="H556" s="3">
        <v>0.11</v>
      </c>
      <c r="I556" s="3">
        <v>379.5</v>
      </c>
      <c r="J556" s="3" t="s">
        <v>37</v>
      </c>
    </row>
    <row r="557" spans="1:10" x14ac:dyDescent="0.35">
      <c r="A557" s="3" t="s">
        <v>587</v>
      </c>
      <c r="B557" s="4">
        <v>43302</v>
      </c>
      <c r="C557" s="3" t="s">
        <v>15</v>
      </c>
      <c r="D557" s="3" t="s">
        <v>31</v>
      </c>
      <c r="E557" s="3">
        <v>16</v>
      </c>
      <c r="F557" s="3">
        <v>40</v>
      </c>
      <c r="G557" s="3">
        <v>640</v>
      </c>
      <c r="H557" s="3">
        <v>0.09</v>
      </c>
      <c r="I557" s="3">
        <v>57.599999999999994</v>
      </c>
      <c r="J557" s="3" t="s">
        <v>39</v>
      </c>
    </row>
    <row r="558" spans="1:10" x14ac:dyDescent="0.35">
      <c r="A558" s="3" t="s">
        <v>588</v>
      </c>
      <c r="B558" s="4">
        <v>43302</v>
      </c>
      <c r="C558" s="3" t="s">
        <v>15</v>
      </c>
      <c r="D558" s="3" t="s">
        <v>31</v>
      </c>
      <c r="E558" s="3">
        <v>20</v>
      </c>
      <c r="F558" s="3">
        <v>40</v>
      </c>
      <c r="G558" s="3">
        <v>800</v>
      </c>
      <c r="H558" s="3">
        <v>0.1</v>
      </c>
      <c r="I558" s="3">
        <v>80</v>
      </c>
      <c r="J558" s="3" t="s">
        <v>32</v>
      </c>
    </row>
    <row r="559" spans="1:10" x14ac:dyDescent="0.35">
      <c r="A559" s="3" t="s">
        <v>589</v>
      </c>
      <c r="B559" s="4">
        <v>43302</v>
      </c>
      <c r="C559" s="3" t="s">
        <v>15</v>
      </c>
      <c r="D559" s="3" t="s">
        <v>16</v>
      </c>
      <c r="E559" s="3">
        <v>18</v>
      </c>
      <c r="F559" s="3">
        <v>40</v>
      </c>
      <c r="G559" s="3">
        <v>720</v>
      </c>
      <c r="H559" s="3">
        <v>0.08</v>
      </c>
      <c r="I559" s="3">
        <v>57.6</v>
      </c>
      <c r="J559" s="3" t="s">
        <v>35</v>
      </c>
    </row>
    <row r="560" spans="1:10" x14ac:dyDescent="0.35">
      <c r="A560" s="3" t="s">
        <v>590</v>
      </c>
      <c r="B560" s="4">
        <v>43302</v>
      </c>
      <c r="C560" s="3" t="s">
        <v>11</v>
      </c>
      <c r="D560" s="3" t="s">
        <v>31</v>
      </c>
      <c r="E560" s="3">
        <v>22</v>
      </c>
      <c r="F560" s="3">
        <v>80</v>
      </c>
      <c r="G560" s="3">
        <v>1760</v>
      </c>
      <c r="H560" s="3">
        <v>0.09</v>
      </c>
      <c r="I560" s="3">
        <v>158.4</v>
      </c>
      <c r="J560" s="3" t="s">
        <v>37</v>
      </c>
    </row>
    <row r="561" spans="1:10" x14ac:dyDescent="0.35">
      <c r="A561" s="3" t="s">
        <v>591</v>
      </c>
      <c r="B561" s="4">
        <v>43302</v>
      </c>
      <c r="C561" s="3" t="s">
        <v>34</v>
      </c>
      <c r="D561" s="3" t="s">
        <v>16</v>
      </c>
      <c r="E561" s="3">
        <v>22</v>
      </c>
      <c r="F561" s="3">
        <v>150</v>
      </c>
      <c r="G561" s="3">
        <v>3300</v>
      </c>
      <c r="H561" s="3">
        <v>0.02</v>
      </c>
      <c r="I561" s="3">
        <v>66</v>
      </c>
      <c r="J561" s="3" t="s">
        <v>39</v>
      </c>
    </row>
    <row r="562" spans="1:10" x14ac:dyDescent="0.35">
      <c r="A562" s="3" t="s">
        <v>592</v>
      </c>
      <c r="B562" s="4">
        <v>43302</v>
      </c>
      <c r="C562" s="3" t="s">
        <v>34</v>
      </c>
      <c r="D562" s="3" t="s">
        <v>16</v>
      </c>
      <c r="E562" s="3">
        <v>20</v>
      </c>
      <c r="F562" s="3">
        <v>150</v>
      </c>
      <c r="G562" s="3">
        <v>3000</v>
      </c>
      <c r="H562" s="3">
        <v>0.09</v>
      </c>
      <c r="I562" s="3">
        <v>270</v>
      </c>
      <c r="J562" s="3" t="s">
        <v>32</v>
      </c>
    </row>
    <row r="563" spans="1:10" x14ac:dyDescent="0.35">
      <c r="A563" s="3" t="s">
        <v>593</v>
      </c>
      <c r="B563" s="4">
        <v>43302</v>
      </c>
      <c r="C563" s="3" t="s">
        <v>30</v>
      </c>
      <c r="D563" s="3" t="s">
        <v>12</v>
      </c>
      <c r="E563" s="3">
        <v>10</v>
      </c>
      <c r="F563" s="3">
        <v>16</v>
      </c>
      <c r="G563" s="3">
        <v>160</v>
      </c>
      <c r="H563" s="3">
        <v>0.08</v>
      </c>
      <c r="I563" s="3">
        <v>12.8</v>
      </c>
      <c r="J563" s="3" t="s">
        <v>35</v>
      </c>
    </row>
    <row r="564" spans="1:10" x14ac:dyDescent="0.35">
      <c r="A564" s="3" t="s">
        <v>594</v>
      </c>
      <c r="B564" s="4">
        <v>43302</v>
      </c>
      <c r="C564" s="3" t="s">
        <v>15</v>
      </c>
      <c r="D564" s="3" t="s">
        <v>24</v>
      </c>
      <c r="E564" s="3">
        <v>12</v>
      </c>
      <c r="F564" s="3">
        <v>40</v>
      </c>
      <c r="G564" s="3">
        <v>480</v>
      </c>
      <c r="H564" s="3">
        <v>0.02</v>
      </c>
      <c r="I564" s="3">
        <v>9.6</v>
      </c>
      <c r="J564" s="3" t="s">
        <v>37</v>
      </c>
    </row>
    <row r="565" spans="1:10" x14ac:dyDescent="0.35">
      <c r="A565" s="3" t="s">
        <v>595</v>
      </c>
      <c r="B565" s="4">
        <v>43302</v>
      </c>
      <c r="C565" s="3" t="s">
        <v>34</v>
      </c>
      <c r="D565" s="3" t="s">
        <v>12</v>
      </c>
      <c r="E565" s="3">
        <v>4</v>
      </c>
      <c r="F565" s="3">
        <v>150</v>
      </c>
      <c r="G565" s="3">
        <v>600</v>
      </c>
      <c r="H565" s="3">
        <v>0.1</v>
      </c>
      <c r="I565" s="3">
        <v>60</v>
      </c>
      <c r="J565" s="3" t="s">
        <v>39</v>
      </c>
    </row>
    <row r="566" spans="1:10" x14ac:dyDescent="0.35">
      <c r="A566" s="3" t="s">
        <v>596</v>
      </c>
      <c r="B566" s="4">
        <v>43302</v>
      </c>
      <c r="C566" s="3" t="s">
        <v>11</v>
      </c>
      <c r="D566" s="3" t="s">
        <v>24</v>
      </c>
      <c r="E566" s="3">
        <v>5</v>
      </c>
      <c r="F566" s="3">
        <v>80</v>
      </c>
      <c r="G566" s="3">
        <v>400</v>
      </c>
      <c r="H566" s="3">
        <v>0.09</v>
      </c>
      <c r="I566" s="3">
        <v>36</v>
      </c>
      <c r="J566" s="3" t="s">
        <v>32</v>
      </c>
    </row>
    <row r="567" spans="1:10" x14ac:dyDescent="0.35">
      <c r="A567" s="3" t="s">
        <v>597</v>
      </c>
      <c r="B567" s="4">
        <v>43302</v>
      </c>
      <c r="C567" s="3" t="s">
        <v>15</v>
      </c>
      <c r="D567" s="3" t="s">
        <v>12</v>
      </c>
      <c r="E567" s="3">
        <v>11</v>
      </c>
      <c r="F567" s="3">
        <v>40</v>
      </c>
      <c r="G567" s="3">
        <v>440</v>
      </c>
      <c r="H567" s="3">
        <v>0.04</v>
      </c>
      <c r="I567" s="3">
        <v>17.600000000000001</v>
      </c>
      <c r="J567" s="3" t="s">
        <v>35</v>
      </c>
    </row>
    <row r="568" spans="1:10" x14ac:dyDescent="0.35">
      <c r="A568" s="3" t="s">
        <v>598</v>
      </c>
      <c r="B568" s="4">
        <v>43302</v>
      </c>
      <c r="C568" s="3" t="s">
        <v>34</v>
      </c>
      <c r="D568" s="3" t="s">
        <v>16</v>
      </c>
      <c r="E568" s="3">
        <v>13</v>
      </c>
      <c r="F568" s="3">
        <v>150</v>
      </c>
      <c r="G568" s="3">
        <v>1950</v>
      </c>
      <c r="H568" s="3">
        <v>0.08</v>
      </c>
      <c r="I568" s="3">
        <v>156</v>
      </c>
      <c r="J568" s="3" t="s">
        <v>37</v>
      </c>
    </row>
    <row r="569" spans="1:10" x14ac:dyDescent="0.35">
      <c r="A569" s="3" t="s">
        <v>599</v>
      </c>
      <c r="B569" s="4">
        <v>43302</v>
      </c>
      <c r="C569" s="3" t="s">
        <v>11</v>
      </c>
      <c r="D569" s="3" t="s">
        <v>27</v>
      </c>
      <c r="E569" s="3">
        <v>19</v>
      </c>
      <c r="F569" s="3">
        <v>80</v>
      </c>
      <c r="G569" s="3">
        <v>1520</v>
      </c>
      <c r="H569" s="3">
        <v>0.02</v>
      </c>
      <c r="I569" s="3">
        <v>30.400000000000002</v>
      </c>
      <c r="J569" s="3" t="s">
        <v>39</v>
      </c>
    </row>
    <row r="570" spans="1:10" x14ac:dyDescent="0.35">
      <c r="A570" s="3" t="s">
        <v>600</v>
      </c>
      <c r="B570" s="4">
        <v>43302</v>
      </c>
      <c r="C570" s="3" t="s">
        <v>19</v>
      </c>
      <c r="D570" s="3" t="s">
        <v>16</v>
      </c>
      <c r="E570" s="3">
        <v>7</v>
      </c>
      <c r="F570" s="3">
        <v>230</v>
      </c>
      <c r="G570" s="3">
        <v>1610</v>
      </c>
      <c r="H570" s="3">
        <v>0.01</v>
      </c>
      <c r="I570" s="3">
        <v>16.100000000000001</v>
      </c>
      <c r="J570" s="3" t="s">
        <v>32</v>
      </c>
    </row>
    <row r="571" spans="1:10" x14ac:dyDescent="0.35">
      <c r="A571" s="3" t="s">
        <v>601</v>
      </c>
      <c r="B571" s="4">
        <v>43303</v>
      </c>
      <c r="C571" s="3" t="s">
        <v>11</v>
      </c>
      <c r="D571" s="3" t="s">
        <v>31</v>
      </c>
      <c r="E571" s="3">
        <v>16</v>
      </c>
      <c r="F571" s="3">
        <v>80</v>
      </c>
      <c r="G571" s="3">
        <v>1280</v>
      </c>
      <c r="H571" s="3">
        <v>0.09</v>
      </c>
      <c r="I571" s="3">
        <v>115.19999999999999</v>
      </c>
      <c r="J571" s="3" t="s">
        <v>35</v>
      </c>
    </row>
    <row r="572" spans="1:10" x14ac:dyDescent="0.35">
      <c r="A572" s="3" t="s">
        <v>602</v>
      </c>
      <c r="B572" s="4">
        <v>43303</v>
      </c>
      <c r="C572" s="3" t="s">
        <v>19</v>
      </c>
      <c r="D572" s="3" t="s">
        <v>12</v>
      </c>
      <c r="E572" s="3">
        <v>7</v>
      </c>
      <c r="F572" s="3">
        <v>230</v>
      </c>
      <c r="G572" s="3">
        <v>1610</v>
      </c>
      <c r="H572" s="3">
        <v>0.02</v>
      </c>
      <c r="I572" s="3">
        <v>32.200000000000003</v>
      </c>
      <c r="J572" s="3" t="s">
        <v>37</v>
      </c>
    </row>
    <row r="573" spans="1:10" x14ac:dyDescent="0.35">
      <c r="A573" s="3" t="s">
        <v>603</v>
      </c>
      <c r="B573" s="4">
        <v>43303</v>
      </c>
      <c r="C573" s="3" t="s">
        <v>15</v>
      </c>
      <c r="D573" s="3" t="s">
        <v>12</v>
      </c>
      <c r="E573" s="3">
        <v>5</v>
      </c>
      <c r="F573" s="3">
        <v>40</v>
      </c>
      <c r="G573" s="3">
        <v>200</v>
      </c>
      <c r="H573" s="3">
        <v>0.06</v>
      </c>
      <c r="I573" s="3">
        <v>12</v>
      </c>
      <c r="J573" s="3" t="s">
        <v>39</v>
      </c>
    </row>
    <row r="574" spans="1:10" x14ac:dyDescent="0.35">
      <c r="A574" s="3" t="s">
        <v>604</v>
      </c>
      <c r="B574" s="4">
        <v>43303</v>
      </c>
      <c r="C574" s="3" t="s">
        <v>34</v>
      </c>
      <c r="D574" s="3" t="s">
        <v>24</v>
      </c>
      <c r="E574" s="3">
        <v>9</v>
      </c>
      <c r="F574" s="3">
        <v>150</v>
      </c>
      <c r="G574" s="3">
        <v>1350</v>
      </c>
      <c r="H574" s="3">
        <v>0.06</v>
      </c>
      <c r="I574" s="3">
        <v>81</v>
      </c>
      <c r="J574" s="3" t="s">
        <v>32</v>
      </c>
    </row>
    <row r="575" spans="1:10" x14ac:dyDescent="0.35">
      <c r="A575" s="3" t="s">
        <v>605</v>
      </c>
      <c r="B575" s="4">
        <v>43303</v>
      </c>
      <c r="C575" s="3" t="s">
        <v>15</v>
      </c>
      <c r="D575" s="3" t="s">
        <v>31</v>
      </c>
      <c r="E575" s="3">
        <v>20</v>
      </c>
      <c r="F575" s="3">
        <v>40</v>
      </c>
      <c r="G575" s="3">
        <v>800</v>
      </c>
      <c r="H575" s="3">
        <v>7.0000000000000007E-2</v>
      </c>
      <c r="I575" s="3">
        <v>56.000000000000007</v>
      </c>
      <c r="J575" s="3" t="s">
        <v>35</v>
      </c>
    </row>
    <row r="576" spans="1:10" x14ac:dyDescent="0.35">
      <c r="A576" s="3" t="s">
        <v>606</v>
      </c>
      <c r="B576" s="4">
        <v>43303</v>
      </c>
      <c r="C576" s="3" t="s">
        <v>30</v>
      </c>
      <c r="D576" s="3" t="s">
        <v>16</v>
      </c>
      <c r="E576" s="3">
        <v>20</v>
      </c>
      <c r="F576" s="3">
        <v>16</v>
      </c>
      <c r="G576" s="3">
        <v>320</v>
      </c>
      <c r="H576" s="3">
        <v>0.06</v>
      </c>
      <c r="I576" s="3">
        <v>19.2</v>
      </c>
      <c r="J576" s="3" t="s">
        <v>37</v>
      </c>
    </row>
    <row r="577" spans="1:10" x14ac:dyDescent="0.35">
      <c r="A577" s="3" t="s">
        <v>607</v>
      </c>
      <c r="B577" s="4">
        <v>43303</v>
      </c>
      <c r="C577" s="3" t="s">
        <v>15</v>
      </c>
      <c r="D577" s="3" t="s">
        <v>31</v>
      </c>
      <c r="E577" s="3">
        <v>5</v>
      </c>
      <c r="F577" s="3">
        <v>40</v>
      </c>
      <c r="G577" s="3">
        <v>200</v>
      </c>
      <c r="H577" s="3">
        <v>0.03</v>
      </c>
      <c r="I577" s="3">
        <v>6</v>
      </c>
      <c r="J577" s="3" t="s">
        <v>39</v>
      </c>
    </row>
    <row r="578" spans="1:10" x14ac:dyDescent="0.35">
      <c r="A578" s="3" t="s">
        <v>608</v>
      </c>
      <c r="B578" s="4">
        <v>43304</v>
      </c>
      <c r="C578" s="3" t="s">
        <v>11</v>
      </c>
      <c r="D578" s="3" t="s">
        <v>27</v>
      </c>
      <c r="E578" s="3">
        <v>7</v>
      </c>
      <c r="F578" s="3">
        <v>80</v>
      </c>
      <c r="G578" s="3">
        <v>560</v>
      </c>
      <c r="H578" s="3">
        <v>7.0000000000000007E-2</v>
      </c>
      <c r="I578" s="3">
        <v>39.200000000000003</v>
      </c>
      <c r="J578" s="3" t="s">
        <v>32</v>
      </c>
    </row>
    <row r="579" spans="1:10" x14ac:dyDescent="0.35">
      <c r="A579" s="3" t="s">
        <v>609</v>
      </c>
      <c r="B579" s="4">
        <v>43304</v>
      </c>
      <c r="C579" s="3" t="s">
        <v>30</v>
      </c>
      <c r="D579" s="3" t="s">
        <v>31</v>
      </c>
      <c r="E579" s="3">
        <v>22</v>
      </c>
      <c r="F579" s="3">
        <v>16</v>
      </c>
      <c r="G579" s="3">
        <v>352</v>
      </c>
      <c r="H579" s="3">
        <v>0.12</v>
      </c>
      <c r="I579" s="3">
        <v>42.239999999999995</v>
      </c>
      <c r="J579" s="3" t="s">
        <v>35</v>
      </c>
    </row>
    <row r="580" spans="1:10" x14ac:dyDescent="0.35">
      <c r="A580" s="3" t="s">
        <v>610</v>
      </c>
      <c r="B580" s="4">
        <v>43304</v>
      </c>
      <c r="C580" s="3" t="s">
        <v>30</v>
      </c>
      <c r="D580" s="3" t="s">
        <v>31</v>
      </c>
      <c r="E580" s="3">
        <v>11</v>
      </c>
      <c r="F580" s="3">
        <v>16</v>
      </c>
      <c r="G580" s="3">
        <v>176</v>
      </c>
      <c r="H580" s="3">
        <v>0.12</v>
      </c>
      <c r="I580" s="3">
        <v>21.119999999999997</v>
      </c>
      <c r="J580" s="3" t="s">
        <v>37</v>
      </c>
    </row>
    <row r="581" spans="1:10" x14ac:dyDescent="0.35">
      <c r="A581" s="3" t="s">
        <v>611</v>
      </c>
      <c r="B581" s="4">
        <v>43304</v>
      </c>
      <c r="C581" s="3" t="s">
        <v>19</v>
      </c>
      <c r="D581" s="3" t="s">
        <v>27</v>
      </c>
      <c r="E581" s="3">
        <v>17</v>
      </c>
      <c r="F581" s="3">
        <v>230</v>
      </c>
      <c r="G581" s="3">
        <v>3910</v>
      </c>
      <c r="H581" s="3">
        <v>0.12</v>
      </c>
      <c r="I581" s="3">
        <v>469.2</v>
      </c>
      <c r="J581" s="3" t="s">
        <v>39</v>
      </c>
    </row>
    <row r="582" spans="1:10" x14ac:dyDescent="0.35">
      <c r="A582" s="3" t="s">
        <v>612</v>
      </c>
      <c r="B582" s="4">
        <v>43304</v>
      </c>
      <c r="C582" s="3" t="s">
        <v>11</v>
      </c>
      <c r="D582" s="3" t="s">
        <v>12</v>
      </c>
      <c r="E582" s="3">
        <v>7</v>
      </c>
      <c r="F582" s="3">
        <v>80</v>
      </c>
      <c r="G582" s="3">
        <v>560</v>
      </c>
      <c r="H582" s="3">
        <v>0.02</v>
      </c>
      <c r="I582" s="3">
        <v>11.200000000000001</v>
      </c>
      <c r="J582" s="3" t="s">
        <v>32</v>
      </c>
    </row>
    <row r="583" spans="1:10" x14ac:dyDescent="0.35">
      <c r="A583" s="3" t="s">
        <v>613</v>
      </c>
      <c r="B583" s="4">
        <v>43304</v>
      </c>
      <c r="C583" s="3" t="s">
        <v>30</v>
      </c>
      <c r="D583" s="3" t="s">
        <v>16</v>
      </c>
      <c r="E583" s="3">
        <v>5</v>
      </c>
      <c r="F583" s="3">
        <v>16</v>
      </c>
      <c r="G583" s="3">
        <v>80</v>
      </c>
      <c r="H583" s="3">
        <v>0.11</v>
      </c>
      <c r="I583" s="3">
        <v>8.8000000000000007</v>
      </c>
      <c r="J583" s="3" t="s">
        <v>35</v>
      </c>
    </row>
    <row r="584" spans="1:10" x14ac:dyDescent="0.35">
      <c r="A584" s="3" t="s">
        <v>614</v>
      </c>
      <c r="B584" s="4">
        <v>43304</v>
      </c>
      <c r="C584" s="3" t="s">
        <v>34</v>
      </c>
      <c r="D584" s="3" t="s">
        <v>31</v>
      </c>
      <c r="E584" s="3">
        <v>18</v>
      </c>
      <c r="F584" s="3">
        <v>150</v>
      </c>
      <c r="G584" s="3">
        <v>2700</v>
      </c>
      <c r="H584" s="3">
        <v>0.12</v>
      </c>
      <c r="I584" s="3">
        <v>324</v>
      </c>
      <c r="J584" s="3" t="s">
        <v>37</v>
      </c>
    </row>
    <row r="585" spans="1:10" x14ac:dyDescent="0.35">
      <c r="A585" s="3" t="s">
        <v>615</v>
      </c>
      <c r="B585" s="4">
        <v>43304</v>
      </c>
      <c r="C585" s="3" t="s">
        <v>15</v>
      </c>
      <c r="D585" s="3" t="s">
        <v>31</v>
      </c>
      <c r="E585" s="3">
        <v>10</v>
      </c>
      <c r="F585" s="3">
        <v>40</v>
      </c>
      <c r="G585" s="3">
        <v>400</v>
      </c>
      <c r="H585" s="3">
        <v>0.03</v>
      </c>
      <c r="I585" s="3">
        <v>12</v>
      </c>
      <c r="J585" s="3" t="s">
        <v>39</v>
      </c>
    </row>
    <row r="586" spans="1:10" x14ac:dyDescent="0.35">
      <c r="A586" s="3" t="s">
        <v>616</v>
      </c>
      <c r="B586" s="4">
        <v>43304</v>
      </c>
      <c r="C586" s="3" t="s">
        <v>15</v>
      </c>
      <c r="D586" s="3" t="s">
        <v>31</v>
      </c>
      <c r="E586" s="3">
        <v>14</v>
      </c>
      <c r="F586" s="3">
        <v>40</v>
      </c>
      <c r="G586" s="3">
        <v>560</v>
      </c>
      <c r="H586" s="3">
        <v>0.11</v>
      </c>
      <c r="I586" s="3">
        <v>61.6</v>
      </c>
      <c r="J586" s="3" t="s">
        <v>32</v>
      </c>
    </row>
    <row r="587" spans="1:10" x14ac:dyDescent="0.35">
      <c r="A587" s="3" t="s">
        <v>617</v>
      </c>
      <c r="B587" s="4">
        <v>43304</v>
      </c>
      <c r="C587" s="3" t="s">
        <v>15</v>
      </c>
      <c r="D587" s="3" t="s">
        <v>31</v>
      </c>
      <c r="E587" s="3">
        <v>16</v>
      </c>
      <c r="F587" s="3">
        <v>40</v>
      </c>
      <c r="G587" s="3">
        <v>640</v>
      </c>
      <c r="H587" s="3">
        <v>0.09</v>
      </c>
      <c r="I587" s="3">
        <v>57.599999999999994</v>
      </c>
      <c r="J587" s="3" t="s">
        <v>35</v>
      </c>
    </row>
    <row r="588" spans="1:10" x14ac:dyDescent="0.35">
      <c r="A588" s="3" t="s">
        <v>618</v>
      </c>
      <c r="B588" s="4">
        <v>43305</v>
      </c>
      <c r="C588" s="3" t="s">
        <v>15</v>
      </c>
      <c r="D588" s="3" t="s">
        <v>27</v>
      </c>
      <c r="E588" s="3">
        <v>23</v>
      </c>
      <c r="F588" s="3">
        <v>40</v>
      </c>
      <c r="G588" s="3">
        <v>920</v>
      </c>
      <c r="H588" s="3">
        <v>0.06</v>
      </c>
      <c r="I588" s="3">
        <v>55.199999999999996</v>
      </c>
      <c r="J588" s="3" t="s">
        <v>37</v>
      </c>
    </row>
    <row r="589" spans="1:10" x14ac:dyDescent="0.35">
      <c r="A589" s="3" t="s">
        <v>619</v>
      </c>
      <c r="B589" s="4">
        <v>43305</v>
      </c>
      <c r="C589" s="3" t="s">
        <v>19</v>
      </c>
      <c r="D589" s="3" t="s">
        <v>27</v>
      </c>
      <c r="E589" s="3">
        <v>8</v>
      </c>
      <c r="F589" s="3">
        <v>230</v>
      </c>
      <c r="G589" s="3">
        <v>1840</v>
      </c>
      <c r="H589" s="3">
        <v>0.05</v>
      </c>
      <c r="I589" s="3">
        <v>92</v>
      </c>
      <c r="J589" s="3" t="s">
        <v>39</v>
      </c>
    </row>
    <row r="590" spans="1:10" x14ac:dyDescent="0.35">
      <c r="A590" s="3" t="s">
        <v>620</v>
      </c>
      <c r="B590" s="4">
        <v>43305</v>
      </c>
      <c r="C590" s="3" t="s">
        <v>30</v>
      </c>
      <c r="D590" s="3" t="s">
        <v>27</v>
      </c>
      <c r="E590" s="3">
        <v>14</v>
      </c>
      <c r="F590" s="3">
        <v>16</v>
      </c>
      <c r="G590" s="3">
        <v>224</v>
      </c>
      <c r="H590" s="3">
        <v>0.12</v>
      </c>
      <c r="I590" s="3">
        <v>26.88</v>
      </c>
      <c r="J590" s="3" t="s">
        <v>32</v>
      </c>
    </row>
    <row r="591" spans="1:10" x14ac:dyDescent="0.35">
      <c r="A591" s="3" t="s">
        <v>621</v>
      </c>
      <c r="B591" s="4">
        <v>43305</v>
      </c>
      <c r="C591" s="3" t="s">
        <v>11</v>
      </c>
      <c r="D591" s="3" t="s">
        <v>12</v>
      </c>
      <c r="E591" s="3">
        <v>17</v>
      </c>
      <c r="F591" s="3">
        <v>80</v>
      </c>
      <c r="G591" s="3">
        <v>1360</v>
      </c>
      <c r="H591" s="3">
        <v>0.09</v>
      </c>
      <c r="I591" s="3">
        <v>122.39999999999999</v>
      </c>
      <c r="J591" s="3" t="s">
        <v>35</v>
      </c>
    </row>
    <row r="592" spans="1:10" x14ac:dyDescent="0.35">
      <c r="A592" s="3" t="s">
        <v>622</v>
      </c>
      <c r="B592" s="4">
        <v>43305</v>
      </c>
      <c r="C592" s="3" t="s">
        <v>34</v>
      </c>
      <c r="D592" s="3" t="s">
        <v>24</v>
      </c>
      <c r="E592" s="3">
        <v>11</v>
      </c>
      <c r="F592" s="3">
        <v>150</v>
      </c>
      <c r="G592" s="3">
        <v>1650</v>
      </c>
      <c r="H592" s="3">
        <v>0.11</v>
      </c>
      <c r="I592" s="3">
        <v>181.5</v>
      </c>
      <c r="J592" s="3" t="s">
        <v>37</v>
      </c>
    </row>
    <row r="593" spans="1:10" x14ac:dyDescent="0.35">
      <c r="A593" s="3" t="s">
        <v>623</v>
      </c>
      <c r="B593" s="4">
        <v>43305</v>
      </c>
      <c r="C593" s="3" t="s">
        <v>15</v>
      </c>
      <c r="D593" s="3" t="s">
        <v>27</v>
      </c>
      <c r="E593" s="3">
        <v>15</v>
      </c>
      <c r="F593" s="3">
        <v>40</v>
      </c>
      <c r="G593" s="3">
        <v>600</v>
      </c>
      <c r="H593" s="3">
        <v>0.03</v>
      </c>
      <c r="I593" s="3">
        <v>18</v>
      </c>
      <c r="J593" s="3" t="s">
        <v>39</v>
      </c>
    </row>
    <row r="594" spans="1:10" x14ac:dyDescent="0.35">
      <c r="A594" s="3" t="s">
        <v>624</v>
      </c>
      <c r="B594" s="4">
        <v>43305</v>
      </c>
      <c r="C594" s="3" t="s">
        <v>11</v>
      </c>
      <c r="D594" s="3" t="s">
        <v>31</v>
      </c>
      <c r="E594" s="3">
        <v>9</v>
      </c>
      <c r="F594" s="3">
        <v>80</v>
      </c>
      <c r="G594" s="3">
        <v>720</v>
      </c>
      <c r="H594" s="3">
        <v>7.0000000000000007E-2</v>
      </c>
      <c r="I594" s="3">
        <v>50.400000000000006</v>
      </c>
      <c r="J594" s="3" t="s">
        <v>32</v>
      </c>
    </row>
    <row r="595" spans="1:10" x14ac:dyDescent="0.35">
      <c r="A595" s="3" t="s">
        <v>625</v>
      </c>
      <c r="B595" s="4">
        <v>43305</v>
      </c>
      <c r="C595" s="3" t="s">
        <v>19</v>
      </c>
      <c r="D595" s="3" t="s">
        <v>16</v>
      </c>
      <c r="E595" s="3">
        <v>22</v>
      </c>
      <c r="F595" s="3">
        <v>230</v>
      </c>
      <c r="G595" s="3">
        <v>5060</v>
      </c>
      <c r="H595" s="3">
        <v>0.04</v>
      </c>
      <c r="I595" s="3">
        <v>202.4</v>
      </c>
      <c r="J595" s="3" t="s">
        <v>35</v>
      </c>
    </row>
    <row r="596" spans="1:10" x14ac:dyDescent="0.35">
      <c r="A596" s="3" t="s">
        <v>626</v>
      </c>
      <c r="B596" s="4">
        <v>43305</v>
      </c>
      <c r="C596" s="3" t="s">
        <v>19</v>
      </c>
      <c r="D596" s="3" t="s">
        <v>16</v>
      </c>
      <c r="E596" s="3">
        <v>11</v>
      </c>
      <c r="F596" s="3">
        <v>230</v>
      </c>
      <c r="G596" s="3">
        <v>2530</v>
      </c>
      <c r="H596" s="3">
        <v>0.1</v>
      </c>
      <c r="I596" s="3">
        <v>253</v>
      </c>
      <c r="J596" s="3" t="s">
        <v>37</v>
      </c>
    </row>
    <row r="597" spans="1:10" x14ac:dyDescent="0.35">
      <c r="A597" s="3" t="s">
        <v>627</v>
      </c>
      <c r="B597" s="4">
        <v>43305</v>
      </c>
      <c r="C597" s="3" t="s">
        <v>15</v>
      </c>
      <c r="D597" s="3" t="s">
        <v>24</v>
      </c>
      <c r="E597" s="3">
        <v>11</v>
      </c>
      <c r="F597" s="3">
        <v>40</v>
      </c>
      <c r="G597" s="3">
        <v>440</v>
      </c>
      <c r="H597" s="3">
        <v>0.12</v>
      </c>
      <c r="I597" s="3">
        <v>52.8</v>
      </c>
      <c r="J597" s="3" t="s">
        <v>39</v>
      </c>
    </row>
    <row r="598" spans="1:10" x14ac:dyDescent="0.35">
      <c r="A598" s="3" t="s">
        <v>628</v>
      </c>
      <c r="B598" s="4">
        <v>43305</v>
      </c>
      <c r="C598" s="3" t="s">
        <v>15</v>
      </c>
      <c r="D598" s="3" t="s">
        <v>27</v>
      </c>
      <c r="E598" s="3">
        <v>9</v>
      </c>
      <c r="F598" s="3">
        <v>40</v>
      </c>
      <c r="G598" s="3">
        <v>360</v>
      </c>
      <c r="H598" s="3">
        <v>0.06</v>
      </c>
      <c r="I598" s="3">
        <v>21.599999999999998</v>
      </c>
      <c r="J598" s="3" t="s">
        <v>32</v>
      </c>
    </row>
    <row r="599" spans="1:10" x14ac:dyDescent="0.35">
      <c r="A599" s="3" t="s">
        <v>629</v>
      </c>
      <c r="B599" s="4">
        <v>43306</v>
      </c>
      <c r="C599" s="3" t="s">
        <v>15</v>
      </c>
      <c r="D599" s="3" t="s">
        <v>27</v>
      </c>
      <c r="E599" s="3">
        <v>13</v>
      </c>
      <c r="F599" s="3">
        <v>40</v>
      </c>
      <c r="G599" s="3">
        <v>520</v>
      </c>
      <c r="H599" s="3">
        <v>0.09</v>
      </c>
      <c r="I599" s="3">
        <v>46.8</v>
      </c>
      <c r="J599" s="3" t="s">
        <v>35</v>
      </c>
    </row>
    <row r="600" spans="1:10" x14ac:dyDescent="0.35">
      <c r="A600" s="3" t="s">
        <v>630</v>
      </c>
      <c r="B600" s="4">
        <v>43306</v>
      </c>
      <c r="C600" s="3" t="s">
        <v>15</v>
      </c>
      <c r="D600" s="3" t="s">
        <v>16</v>
      </c>
      <c r="E600" s="3">
        <v>4</v>
      </c>
      <c r="F600" s="3">
        <v>40</v>
      </c>
      <c r="G600" s="3">
        <v>160</v>
      </c>
      <c r="H600" s="3">
        <v>0.12</v>
      </c>
      <c r="I600" s="3">
        <v>19.2</v>
      </c>
      <c r="J600" s="3" t="s">
        <v>37</v>
      </c>
    </row>
    <row r="601" spans="1:10" x14ac:dyDescent="0.35">
      <c r="A601" s="3" t="s">
        <v>631</v>
      </c>
      <c r="B601" s="4">
        <v>43306</v>
      </c>
      <c r="C601" s="3" t="s">
        <v>34</v>
      </c>
      <c r="D601" s="3" t="s">
        <v>12</v>
      </c>
      <c r="E601" s="3">
        <v>22</v>
      </c>
      <c r="F601" s="3">
        <v>150</v>
      </c>
      <c r="G601" s="3">
        <v>3300</v>
      </c>
      <c r="H601" s="3">
        <v>0.05</v>
      </c>
      <c r="I601" s="3">
        <v>165</v>
      </c>
      <c r="J601" s="3" t="s">
        <v>39</v>
      </c>
    </row>
    <row r="602" spans="1:10" x14ac:dyDescent="0.35">
      <c r="A602" s="3" t="s">
        <v>632</v>
      </c>
      <c r="B602" s="4">
        <v>43306</v>
      </c>
      <c r="C602" s="3" t="s">
        <v>15</v>
      </c>
      <c r="D602" s="3" t="s">
        <v>31</v>
      </c>
      <c r="E602" s="3">
        <v>21</v>
      </c>
      <c r="F602" s="3">
        <v>40</v>
      </c>
      <c r="G602" s="3">
        <v>840</v>
      </c>
      <c r="H602" s="3">
        <v>0.01</v>
      </c>
      <c r="I602" s="3">
        <v>8.4</v>
      </c>
      <c r="J602" s="3" t="s">
        <v>32</v>
      </c>
    </row>
    <row r="603" spans="1:10" x14ac:dyDescent="0.35">
      <c r="A603" s="3" t="s">
        <v>633</v>
      </c>
      <c r="B603" s="4">
        <v>43306</v>
      </c>
      <c r="C603" s="3" t="s">
        <v>30</v>
      </c>
      <c r="D603" s="3" t="s">
        <v>12</v>
      </c>
      <c r="E603" s="3">
        <v>16</v>
      </c>
      <c r="F603" s="3">
        <v>16</v>
      </c>
      <c r="G603" s="3">
        <v>256</v>
      </c>
      <c r="H603" s="3">
        <v>0.03</v>
      </c>
      <c r="I603" s="3">
        <v>7.68</v>
      </c>
      <c r="J603" s="3" t="s">
        <v>35</v>
      </c>
    </row>
    <row r="604" spans="1:10" x14ac:dyDescent="0.35">
      <c r="A604" s="3" t="s">
        <v>634</v>
      </c>
      <c r="B604" s="4">
        <v>43306</v>
      </c>
      <c r="C604" s="3" t="s">
        <v>11</v>
      </c>
      <c r="D604" s="3" t="s">
        <v>27</v>
      </c>
      <c r="E604" s="3">
        <v>16</v>
      </c>
      <c r="F604" s="3">
        <v>80</v>
      </c>
      <c r="G604" s="3">
        <v>1280</v>
      </c>
      <c r="H604" s="3">
        <v>7.0000000000000007E-2</v>
      </c>
      <c r="I604" s="3">
        <v>89.600000000000009</v>
      </c>
      <c r="J604" s="3" t="s">
        <v>37</v>
      </c>
    </row>
    <row r="605" spans="1:10" x14ac:dyDescent="0.35">
      <c r="A605" s="3" t="s">
        <v>635</v>
      </c>
      <c r="B605" s="4">
        <v>43306</v>
      </c>
      <c r="C605" s="3" t="s">
        <v>11</v>
      </c>
      <c r="D605" s="3" t="s">
        <v>16</v>
      </c>
      <c r="E605" s="3">
        <v>15</v>
      </c>
      <c r="F605" s="3">
        <v>80</v>
      </c>
      <c r="G605" s="3">
        <v>1200</v>
      </c>
      <c r="H605" s="3">
        <v>0.12</v>
      </c>
      <c r="I605" s="3">
        <v>144</v>
      </c>
      <c r="J605" s="3" t="s">
        <v>39</v>
      </c>
    </row>
    <row r="606" spans="1:10" x14ac:dyDescent="0.35">
      <c r="A606" s="3" t="s">
        <v>636</v>
      </c>
      <c r="B606" s="4">
        <v>43306</v>
      </c>
      <c r="C606" s="3" t="s">
        <v>34</v>
      </c>
      <c r="D606" s="3" t="s">
        <v>12</v>
      </c>
      <c r="E606" s="3">
        <v>20</v>
      </c>
      <c r="F606" s="3">
        <v>150</v>
      </c>
      <c r="G606" s="3">
        <v>3000</v>
      </c>
      <c r="H606" s="3">
        <v>0.03</v>
      </c>
      <c r="I606" s="3">
        <v>90</v>
      </c>
      <c r="J606" s="3" t="s">
        <v>32</v>
      </c>
    </row>
    <row r="607" spans="1:10" x14ac:dyDescent="0.35">
      <c r="A607" s="3" t="s">
        <v>637</v>
      </c>
      <c r="B607" s="4">
        <v>43306</v>
      </c>
      <c r="C607" s="3" t="s">
        <v>15</v>
      </c>
      <c r="D607" s="3" t="s">
        <v>27</v>
      </c>
      <c r="E607" s="3">
        <v>13</v>
      </c>
      <c r="F607" s="3">
        <v>40</v>
      </c>
      <c r="G607" s="3">
        <v>520</v>
      </c>
      <c r="H607" s="3">
        <v>0.06</v>
      </c>
      <c r="I607" s="3">
        <v>31.2</v>
      </c>
      <c r="J607" s="3" t="s">
        <v>35</v>
      </c>
    </row>
    <row r="608" spans="1:10" x14ac:dyDescent="0.35">
      <c r="A608" s="3" t="s">
        <v>638</v>
      </c>
      <c r="B608" s="4">
        <v>43306</v>
      </c>
      <c r="C608" s="3" t="s">
        <v>30</v>
      </c>
      <c r="D608" s="3" t="s">
        <v>31</v>
      </c>
      <c r="E608" s="3">
        <v>3</v>
      </c>
      <c r="F608" s="3">
        <v>16</v>
      </c>
      <c r="G608" s="3">
        <v>48</v>
      </c>
      <c r="H608" s="3">
        <v>0.06</v>
      </c>
      <c r="I608" s="3">
        <v>2.88</v>
      </c>
      <c r="J608" s="3" t="s">
        <v>37</v>
      </c>
    </row>
    <row r="609" spans="1:10" x14ac:dyDescent="0.35">
      <c r="A609" s="3" t="s">
        <v>639</v>
      </c>
      <c r="B609" s="4">
        <v>43306</v>
      </c>
      <c r="C609" s="3" t="s">
        <v>30</v>
      </c>
      <c r="D609" s="3" t="s">
        <v>24</v>
      </c>
      <c r="E609" s="3">
        <v>11</v>
      </c>
      <c r="F609" s="3">
        <v>16</v>
      </c>
      <c r="G609" s="3">
        <v>176</v>
      </c>
      <c r="H609" s="3">
        <v>0.04</v>
      </c>
      <c r="I609" s="3">
        <v>7.04</v>
      </c>
      <c r="J609" s="3" t="s">
        <v>39</v>
      </c>
    </row>
    <row r="610" spans="1:10" x14ac:dyDescent="0.35">
      <c r="A610" s="3" t="s">
        <v>640</v>
      </c>
      <c r="B610" s="4">
        <v>43307</v>
      </c>
      <c r="C610" s="3" t="s">
        <v>15</v>
      </c>
      <c r="D610" s="3" t="s">
        <v>31</v>
      </c>
      <c r="E610" s="3">
        <v>16</v>
      </c>
      <c r="F610" s="3">
        <v>40</v>
      </c>
      <c r="G610" s="3">
        <v>640</v>
      </c>
      <c r="H610" s="3">
        <v>0.09</v>
      </c>
      <c r="I610" s="3">
        <v>57.599999999999994</v>
      </c>
      <c r="J610" s="3" t="s">
        <v>32</v>
      </c>
    </row>
    <row r="611" spans="1:10" x14ac:dyDescent="0.35">
      <c r="A611" s="3" t="s">
        <v>641</v>
      </c>
      <c r="B611" s="4">
        <v>43307</v>
      </c>
      <c r="C611" s="3" t="s">
        <v>15</v>
      </c>
      <c r="D611" s="3" t="s">
        <v>24</v>
      </c>
      <c r="E611" s="3">
        <v>4</v>
      </c>
      <c r="F611" s="3">
        <v>40</v>
      </c>
      <c r="G611" s="3">
        <v>160</v>
      </c>
      <c r="H611" s="3">
        <v>0.06</v>
      </c>
      <c r="I611" s="3">
        <v>9.6</v>
      </c>
      <c r="J611" s="3" t="s">
        <v>35</v>
      </c>
    </row>
    <row r="612" spans="1:10" x14ac:dyDescent="0.35">
      <c r="A612" s="3" t="s">
        <v>642</v>
      </c>
      <c r="B612" s="4">
        <v>43307</v>
      </c>
      <c r="C612" s="3" t="s">
        <v>15</v>
      </c>
      <c r="D612" s="3" t="s">
        <v>24</v>
      </c>
      <c r="E612" s="3">
        <v>20</v>
      </c>
      <c r="F612" s="3">
        <v>40</v>
      </c>
      <c r="G612" s="3">
        <v>800</v>
      </c>
      <c r="H612" s="3">
        <v>0.01</v>
      </c>
      <c r="I612" s="3">
        <v>8</v>
      </c>
      <c r="J612" s="3" t="s">
        <v>37</v>
      </c>
    </row>
    <row r="613" spans="1:10" x14ac:dyDescent="0.35">
      <c r="A613" s="3" t="s">
        <v>643</v>
      </c>
      <c r="B613" s="4">
        <v>43307</v>
      </c>
      <c r="C613" s="3" t="s">
        <v>15</v>
      </c>
      <c r="D613" s="3" t="s">
        <v>24</v>
      </c>
      <c r="E613" s="3">
        <v>4</v>
      </c>
      <c r="F613" s="3">
        <v>40</v>
      </c>
      <c r="G613" s="3">
        <v>160</v>
      </c>
      <c r="H613" s="3">
        <v>0.1</v>
      </c>
      <c r="I613" s="3">
        <v>16</v>
      </c>
      <c r="J613" s="3" t="s">
        <v>39</v>
      </c>
    </row>
    <row r="614" spans="1:10" x14ac:dyDescent="0.35">
      <c r="A614" s="3" t="s">
        <v>644</v>
      </c>
      <c r="B614" s="4">
        <v>43307</v>
      </c>
      <c r="C614" s="3" t="s">
        <v>11</v>
      </c>
      <c r="D614" s="3" t="s">
        <v>16</v>
      </c>
      <c r="E614" s="3">
        <v>14</v>
      </c>
      <c r="F614" s="3">
        <v>80</v>
      </c>
      <c r="G614" s="3">
        <v>1120</v>
      </c>
      <c r="H614" s="3">
        <v>0.06</v>
      </c>
      <c r="I614" s="3">
        <v>67.2</v>
      </c>
      <c r="J614" s="3" t="s">
        <v>32</v>
      </c>
    </row>
    <row r="615" spans="1:10" x14ac:dyDescent="0.35">
      <c r="A615" s="3" t="s">
        <v>645</v>
      </c>
      <c r="B615" s="4">
        <v>43307</v>
      </c>
      <c r="C615" s="3" t="s">
        <v>34</v>
      </c>
      <c r="D615" s="3" t="s">
        <v>16</v>
      </c>
      <c r="E615" s="3">
        <v>15</v>
      </c>
      <c r="F615" s="3">
        <v>150</v>
      </c>
      <c r="G615" s="3">
        <v>2250</v>
      </c>
      <c r="H615" s="3">
        <v>0.02</v>
      </c>
      <c r="I615" s="3">
        <v>45</v>
      </c>
      <c r="J615" s="3" t="s">
        <v>35</v>
      </c>
    </row>
    <row r="616" spans="1:10" x14ac:dyDescent="0.35">
      <c r="A616" s="3" t="s">
        <v>646</v>
      </c>
      <c r="B616" s="4">
        <v>43307</v>
      </c>
      <c r="C616" s="3" t="s">
        <v>11</v>
      </c>
      <c r="D616" s="3" t="s">
        <v>24</v>
      </c>
      <c r="E616" s="3">
        <v>14</v>
      </c>
      <c r="F616" s="3">
        <v>80</v>
      </c>
      <c r="G616" s="3">
        <v>1120</v>
      </c>
      <c r="H616" s="3">
        <v>0.1</v>
      </c>
      <c r="I616" s="3">
        <v>112</v>
      </c>
      <c r="J616" s="3" t="s">
        <v>37</v>
      </c>
    </row>
    <row r="617" spans="1:10" x14ac:dyDescent="0.35">
      <c r="A617" s="3" t="s">
        <v>647</v>
      </c>
      <c r="B617" s="4">
        <v>43307</v>
      </c>
      <c r="C617" s="3" t="s">
        <v>34</v>
      </c>
      <c r="D617" s="3" t="s">
        <v>12</v>
      </c>
      <c r="E617" s="3">
        <v>20</v>
      </c>
      <c r="F617" s="3">
        <v>150</v>
      </c>
      <c r="G617" s="3">
        <v>3000</v>
      </c>
      <c r="H617" s="3">
        <v>0.04</v>
      </c>
      <c r="I617" s="3">
        <v>120</v>
      </c>
      <c r="J617" s="3" t="s">
        <v>39</v>
      </c>
    </row>
    <row r="618" spans="1:10" x14ac:dyDescent="0.35">
      <c r="A618" s="3" t="s">
        <v>648</v>
      </c>
      <c r="B618" s="4">
        <v>43307</v>
      </c>
      <c r="C618" s="3" t="s">
        <v>11</v>
      </c>
      <c r="D618" s="3" t="s">
        <v>31</v>
      </c>
      <c r="E618" s="3">
        <v>22</v>
      </c>
      <c r="F618" s="3">
        <v>80</v>
      </c>
      <c r="G618" s="3">
        <v>1760</v>
      </c>
      <c r="H618" s="3">
        <v>0.1</v>
      </c>
      <c r="I618" s="3">
        <v>176</v>
      </c>
      <c r="J618" s="3" t="s">
        <v>32</v>
      </c>
    </row>
    <row r="619" spans="1:10" x14ac:dyDescent="0.35">
      <c r="A619" s="3" t="s">
        <v>649</v>
      </c>
      <c r="B619" s="4">
        <v>43307</v>
      </c>
      <c r="C619" s="3" t="s">
        <v>19</v>
      </c>
      <c r="D619" s="3" t="s">
        <v>31</v>
      </c>
      <c r="E619" s="3">
        <v>20</v>
      </c>
      <c r="F619" s="3">
        <v>230</v>
      </c>
      <c r="G619" s="3">
        <v>4600</v>
      </c>
      <c r="H619" s="3">
        <v>0.09</v>
      </c>
      <c r="I619" s="3">
        <v>414</v>
      </c>
      <c r="J619" s="3" t="s">
        <v>35</v>
      </c>
    </row>
    <row r="620" spans="1:10" x14ac:dyDescent="0.35">
      <c r="A620" s="3" t="s">
        <v>650</v>
      </c>
      <c r="B620" s="4">
        <v>43307</v>
      </c>
      <c r="C620" s="3" t="s">
        <v>19</v>
      </c>
      <c r="D620" s="3" t="s">
        <v>24</v>
      </c>
      <c r="E620" s="3">
        <v>12</v>
      </c>
      <c r="F620" s="3">
        <v>230</v>
      </c>
      <c r="G620" s="3">
        <v>2760</v>
      </c>
      <c r="H620" s="3">
        <v>0.03</v>
      </c>
      <c r="I620" s="3">
        <v>82.8</v>
      </c>
      <c r="J620" s="3" t="s">
        <v>37</v>
      </c>
    </row>
    <row r="621" spans="1:10" x14ac:dyDescent="0.35">
      <c r="A621" s="3" t="s">
        <v>651</v>
      </c>
      <c r="B621" s="4">
        <v>43308</v>
      </c>
      <c r="C621" s="3" t="s">
        <v>11</v>
      </c>
      <c r="D621" s="3" t="s">
        <v>12</v>
      </c>
      <c r="E621" s="3">
        <v>21</v>
      </c>
      <c r="F621" s="3">
        <v>80</v>
      </c>
      <c r="G621" s="3">
        <v>1680</v>
      </c>
      <c r="H621" s="3">
        <v>0.04</v>
      </c>
      <c r="I621" s="3">
        <v>67.2</v>
      </c>
      <c r="J621" s="3" t="s">
        <v>39</v>
      </c>
    </row>
    <row r="622" spans="1:10" x14ac:dyDescent="0.35">
      <c r="A622" s="3" t="s">
        <v>652</v>
      </c>
      <c r="B622" s="4">
        <v>43308</v>
      </c>
      <c r="C622" s="3" t="s">
        <v>15</v>
      </c>
      <c r="D622" s="3" t="s">
        <v>16</v>
      </c>
      <c r="E622" s="3">
        <v>15</v>
      </c>
      <c r="F622" s="3">
        <v>40</v>
      </c>
      <c r="G622" s="3">
        <v>600</v>
      </c>
      <c r="H622" s="3">
        <v>0.04</v>
      </c>
      <c r="I622" s="3">
        <v>24</v>
      </c>
      <c r="J622" s="3" t="s">
        <v>32</v>
      </c>
    </row>
    <row r="623" spans="1:10" x14ac:dyDescent="0.35">
      <c r="A623" s="3" t="s">
        <v>653</v>
      </c>
      <c r="B623" s="4">
        <v>43308</v>
      </c>
      <c r="C623" s="3" t="s">
        <v>11</v>
      </c>
      <c r="D623" s="3" t="s">
        <v>27</v>
      </c>
      <c r="E623" s="3">
        <v>16</v>
      </c>
      <c r="F623" s="3">
        <v>80</v>
      </c>
      <c r="G623" s="3">
        <v>1280</v>
      </c>
      <c r="H623" s="3">
        <v>0.1</v>
      </c>
      <c r="I623" s="3">
        <v>128</v>
      </c>
      <c r="J623" s="3" t="s">
        <v>35</v>
      </c>
    </row>
    <row r="624" spans="1:10" x14ac:dyDescent="0.35">
      <c r="A624" s="3" t="s">
        <v>654</v>
      </c>
      <c r="B624" s="4">
        <v>43308</v>
      </c>
      <c r="C624" s="3" t="s">
        <v>19</v>
      </c>
      <c r="D624" s="3" t="s">
        <v>31</v>
      </c>
      <c r="E624" s="3">
        <v>17</v>
      </c>
      <c r="F624" s="3">
        <v>230</v>
      </c>
      <c r="G624" s="3">
        <v>3910</v>
      </c>
      <c r="H624" s="3">
        <v>0.11</v>
      </c>
      <c r="I624" s="3">
        <v>430.1</v>
      </c>
      <c r="J624" s="3" t="s">
        <v>37</v>
      </c>
    </row>
    <row r="625" spans="1:10" x14ac:dyDescent="0.35">
      <c r="A625" s="3" t="s">
        <v>655</v>
      </c>
      <c r="B625" s="4">
        <v>43308</v>
      </c>
      <c r="C625" s="3" t="s">
        <v>19</v>
      </c>
      <c r="D625" s="3" t="s">
        <v>31</v>
      </c>
      <c r="E625" s="3">
        <v>5</v>
      </c>
      <c r="F625" s="3">
        <v>230</v>
      </c>
      <c r="G625" s="3">
        <v>1150</v>
      </c>
      <c r="H625" s="3">
        <v>0.12</v>
      </c>
      <c r="I625" s="3">
        <v>138</v>
      </c>
      <c r="J625" s="3" t="s">
        <v>39</v>
      </c>
    </row>
    <row r="626" spans="1:10" x14ac:dyDescent="0.35">
      <c r="A626" s="3" t="s">
        <v>656</v>
      </c>
      <c r="B626" s="4">
        <v>43308</v>
      </c>
      <c r="C626" s="3" t="s">
        <v>30</v>
      </c>
      <c r="D626" s="3" t="s">
        <v>12</v>
      </c>
      <c r="E626" s="3">
        <v>20</v>
      </c>
      <c r="F626" s="3">
        <v>16</v>
      </c>
      <c r="G626" s="3">
        <v>320</v>
      </c>
      <c r="H626" s="3">
        <v>0.01</v>
      </c>
      <c r="I626" s="3">
        <v>3.2</v>
      </c>
      <c r="J626" s="3" t="s">
        <v>32</v>
      </c>
    </row>
    <row r="627" spans="1:10" x14ac:dyDescent="0.35">
      <c r="A627" s="3" t="s">
        <v>657</v>
      </c>
      <c r="B627" s="4">
        <v>43308</v>
      </c>
      <c r="C627" s="3" t="s">
        <v>19</v>
      </c>
      <c r="D627" s="3" t="s">
        <v>12</v>
      </c>
      <c r="E627" s="3">
        <v>5</v>
      </c>
      <c r="F627" s="3">
        <v>230</v>
      </c>
      <c r="G627" s="3">
        <v>1150</v>
      </c>
      <c r="H627" s="3">
        <v>0.1</v>
      </c>
      <c r="I627" s="3">
        <v>115</v>
      </c>
      <c r="J627" s="3" t="s">
        <v>35</v>
      </c>
    </row>
    <row r="628" spans="1:10" x14ac:dyDescent="0.35">
      <c r="A628" s="3" t="s">
        <v>658</v>
      </c>
      <c r="B628" s="4">
        <v>43308</v>
      </c>
      <c r="C628" s="3" t="s">
        <v>15</v>
      </c>
      <c r="D628" s="3" t="s">
        <v>16</v>
      </c>
      <c r="E628" s="3">
        <v>8</v>
      </c>
      <c r="F628" s="3">
        <v>40</v>
      </c>
      <c r="G628" s="3">
        <v>320</v>
      </c>
      <c r="H628" s="3">
        <v>0.09</v>
      </c>
      <c r="I628" s="3">
        <v>28.799999999999997</v>
      </c>
      <c r="J628" s="3" t="s">
        <v>37</v>
      </c>
    </row>
    <row r="629" spans="1:10" x14ac:dyDescent="0.35">
      <c r="A629" s="3" t="s">
        <v>659</v>
      </c>
      <c r="B629" s="4">
        <v>43308</v>
      </c>
      <c r="C629" s="3" t="s">
        <v>30</v>
      </c>
      <c r="D629" s="3" t="s">
        <v>12</v>
      </c>
      <c r="E629" s="3">
        <v>7</v>
      </c>
      <c r="F629" s="3">
        <v>16</v>
      </c>
      <c r="G629" s="3">
        <v>112</v>
      </c>
      <c r="H629" s="3">
        <v>0.02</v>
      </c>
      <c r="I629" s="3">
        <v>2.2400000000000002</v>
      </c>
      <c r="J629" s="3" t="s">
        <v>39</v>
      </c>
    </row>
    <row r="630" spans="1:10" x14ac:dyDescent="0.35">
      <c r="A630" s="3" t="s">
        <v>660</v>
      </c>
      <c r="B630" s="4">
        <v>43308</v>
      </c>
      <c r="C630" s="3" t="s">
        <v>34</v>
      </c>
      <c r="D630" s="3" t="s">
        <v>27</v>
      </c>
      <c r="E630" s="3">
        <v>15</v>
      </c>
      <c r="F630" s="3">
        <v>150</v>
      </c>
      <c r="G630" s="3">
        <v>2250</v>
      </c>
      <c r="H630" s="3">
        <v>0.08</v>
      </c>
      <c r="I630" s="3">
        <v>180</v>
      </c>
      <c r="J630" s="3" t="s">
        <v>32</v>
      </c>
    </row>
    <row r="631" spans="1:10" x14ac:dyDescent="0.35">
      <c r="A631" s="3" t="s">
        <v>661</v>
      </c>
      <c r="B631" s="4">
        <v>43308</v>
      </c>
      <c r="C631" s="3" t="s">
        <v>19</v>
      </c>
      <c r="D631" s="3" t="s">
        <v>31</v>
      </c>
      <c r="E631" s="3">
        <v>20</v>
      </c>
      <c r="F631" s="3">
        <v>230</v>
      </c>
      <c r="G631" s="3">
        <v>4600</v>
      </c>
      <c r="H631" s="3">
        <v>0.11</v>
      </c>
      <c r="I631" s="3">
        <v>506</v>
      </c>
      <c r="J631" s="3" t="s">
        <v>35</v>
      </c>
    </row>
    <row r="632" spans="1:10" x14ac:dyDescent="0.35">
      <c r="A632" s="3" t="s">
        <v>662</v>
      </c>
      <c r="B632" s="4">
        <v>43308</v>
      </c>
      <c r="C632" s="3" t="s">
        <v>30</v>
      </c>
      <c r="D632" s="3" t="s">
        <v>16</v>
      </c>
      <c r="E632" s="3">
        <v>4</v>
      </c>
      <c r="F632" s="3">
        <v>16</v>
      </c>
      <c r="G632" s="3">
        <v>64</v>
      </c>
      <c r="H632" s="3">
        <v>0.09</v>
      </c>
      <c r="I632" s="3">
        <v>5.76</v>
      </c>
      <c r="J632" s="3" t="s">
        <v>37</v>
      </c>
    </row>
    <row r="633" spans="1:10" x14ac:dyDescent="0.35">
      <c r="A633" s="3" t="s">
        <v>663</v>
      </c>
      <c r="B633" s="4">
        <v>43308</v>
      </c>
      <c r="C633" s="3" t="s">
        <v>15</v>
      </c>
      <c r="D633" s="3" t="s">
        <v>27</v>
      </c>
      <c r="E633" s="3">
        <v>11</v>
      </c>
      <c r="F633" s="3">
        <v>40</v>
      </c>
      <c r="G633" s="3">
        <v>440</v>
      </c>
      <c r="H633" s="3">
        <v>0.09</v>
      </c>
      <c r="I633" s="3">
        <v>39.6</v>
      </c>
      <c r="J633" s="3" t="s">
        <v>39</v>
      </c>
    </row>
    <row r="634" spans="1:10" x14ac:dyDescent="0.35">
      <c r="A634" s="3" t="s">
        <v>664</v>
      </c>
      <c r="B634" s="4">
        <v>43308</v>
      </c>
      <c r="C634" s="3" t="s">
        <v>34</v>
      </c>
      <c r="D634" s="3" t="s">
        <v>24</v>
      </c>
      <c r="E634" s="3">
        <v>15</v>
      </c>
      <c r="F634" s="3">
        <v>150</v>
      </c>
      <c r="G634" s="3">
        <v>2250</v>
      </c>
      <c r="H634" s="3">
        <v>0.05</v>
      </c>
      <c r="I634" s="3">
        <v>112.5</v>
      </c>
      <c r="J634" s="3" t="s">
        <v>32</v>
      </c>
    </row>
    <row r="635" spans="1:10" x14ac:dyDescent="0.35">
      <c r="A635" s="3" t="s">
        <v>665</v>
      </c>
      <c r="B635" s="4">
        <v>43308</v>
      </c>
      <c r="C635" s="3" t="s">
        <v>19</v>
      </c>
      <c r="D635" s="3" t="s">
        <v>24</v>
      </c>
      <c r="E635" s="3">
        <v>5</v>
      </c>
      <c r="F635" s="3">
        <v>230</v>
      </c>
      <c r="G635" s="3">
        <v>1150</v>
      </c>
      <c r="H635" s="3">
        <v>0.01</v>
      </c>
      <c r="I635" s="3">
        <v>11.5</v>
      </c>
      <c r="J635" s="3" t="s">
        <v>35</v>
      </c>
    </row>
    <row r="636" spans="1:10" x14ac:dyDescent="0.35">
      <c r="A636" s="3" t="s">
        <v>666</v>
      </c>
      <c r="B636" s="4">
        <v>43308</v>
      </c>
      <c r="C636" s="3" t="s">
        <v>19</v>
      </c>
      <c r="D636" s="3" t="s">
        <v>24</v>
      </c>
      <c r="E636" s="3">
        <v>14</v>
      </c>
      <c r="F636" s="3">
        <v>230</v>
      </c>
      <c r="G636" s="3">
        <v>3220</v>
      </c>
      <c r="H636" s="3">
        <v>0.03</v>
      </c>
      <c r="I636" s="3">
        <v>96.6</v>
      </c>
      <c r="J636" s="3" t="s">
        <v>37</v>
      </c>
    </row>
    <row r="637" spans="1:10" x14ac:dyDescent="0.35">
      <c r="A637" s="3" t="s">
        <v>667</v>
      </c>
      <c r="B637" s="4">
        <v>43308</v>
      </c>
      <c r="C637" s="3" t="s">
        <v>15</v>
      </c>
      <c r="D637" s="3" t="s">
        <v>31</v>
      </c>
      <c r="E637" s="3">
        <v>23</v>
      </c>
      <c r="F637" s="3">
        <v>40</v>
      </c>
      <c r="G637" s="3">
        <v>920</v>
      </c>
      <c r="H637" s="3">
        <v>0.05</v>
      </c>
      <c r="I637" s="3">
        <v>46</v>
      </c>
      <c r="J637" s="3" t="s">
        <v>39</v>
      </c>
    </row>
    <row r="638" spans="1:10" x14ac:dyDescent="0.35">
      <c r="A638" s="3" t="s">
        <v>668</v>
      </c>
      <c r="B638" s="4">
        <v>43308</v>
      </c>
      <c r="C638" s="3" t="s">
        <v>11</v>
      </c>
      <c r="D638" s="3" t="s">
        <v>27</v>
      </c>
      <c r="E638" s="3">
        <v>22</v>
      </c>
      <c r="F638" s="3">
        <v>80</v>
      </c>
      <c r="G638" s="3">
        <v>1760</v>
      </c>
      <c r="H638" s="3">
        <v>0.03</v>
      </c>
      <c r="I638" s="3">
        <v>52.8</v>
      </c>
      <c r="J638" s="3" t="s">
        <v>32</v>
      </c>
    </row>
    <row r="639" spans="1:10" x14ac:dyDescent="0.35">
      <c r="A639" s="3" t="s">
        <v>669</v>
      </c>
      <c r="B639" s="4">
        <v>43309</v>
      </c>
      <c r="C639" s="3" t="s">
        <v>19</v>
      </c>
      <c r="D639" s="3" t="s">
        <v>24</v>
      </c>
      <c r="E639" s="3">
        <v>20</v>
      </c>
      <c r="F639" s="3">
        <v>230</v>
      </c>
      <c r="G639" s="3">
        <v>4600</v>
      </c>
      <c r="H639" s="3">
        <v>0.06</v>
      </c>
      <c r="I639" s="3">
        <v>276</v>
      </c>
      <c r="J639" s="3" t="s">
        <v>35</v>
      </c>
    </row>
    <row r="640" spans="1:10" x14ac:dyDescent="0.35">
      <c r="A640" s="3" t="s">
        <v>670</v>
      </c>
      <c r="B640" s="4">
        <v>43309</v>
      </c>
      <c r="C640" s="3" t="s">
        <v>19</v>
      </c>
      <c r="D640" s="3" t="s">
        <v>16</v>
      </c>
      <c r="E640" s="3">
        <v>15</v>
      </c>
      <c r="F640" s="3">
        <v>230</v>
      </c>
      <c r="G640" s="3">
        <v>3450</v>
      </c>
      <c r="H640" s="3">
        <v>0.09</v>
      </c>
      <c r="I640" s="3">
        <v>310.5</v>
      </c>
      <c r="J640" s="3" t="s">
        <v>37</v>
      </c>
    </row>
    <row r="641" spans="1:10" x14ac:dyDescent="0.35">
      <c r="A641" s="3" t="s">
        <v>671</v>
      </c>
      <c r="B641" s="4">
        <v>43309</v>
      </c>
      <c r="C641" s="3" t="s">
        <v>34</v>
      </c>
      <c r="D641" s="3" t="s">
        <v>24</v>
      </c>
      <c r="E641" s="3">
        <v>18</v>
      </c>
      <c r="F641" s="3">
        <v>150</v>
      </c>
      <c r="G641" s="3">
        <v>2700</v>
      </c>
      <c r="H641" s="3">
        <v>0.06</v>
      </c>
      <c r="I641" s="3">
        <v>162</v>
      </c>
      <c r="J641" s="3" t="s">
        <v>39</v>
      </c>
    </row>
    <row r="642" spans="1:10" x14ac:dyDescent="0.35">
      <c r="A642" s="3" t="s">
        <v>672</v>
      </c>
      <c r="B642" s="4">
        <v>43309</v>
      </c>
      <c r="C642" s="3" t="s">
        <v>19</v>
      </c>
      <c r="D642" s="3" t="s">
        <v>12</v>
      </c>
      <c r="E642" s="3">
        <v>3</v>
      </c>
      <c r="F642" s="3">
        <v>230</v>
      </c>
      <c r="G642" s="3">
        <v>690</v>
      </c>
      <c r="H642" s="3">
        <v>0.11</v>
      </c>
      <c r="I642" s="3">
        <v>75.900000000000006</v>
      </c>
      <c r="J642" s="3" t="s">
        <v>32</v>
      </c>
    </row>
    <row r="643" spans="1:10" x14ac:dyDescent="0.35">
      <c r="A643" s="3" t="s">
        <v>673</v>
      </c>
      <c r="B643" s="4">
        <v>43309</v>
      </c>
      <c r="C643" s="3" t="s">
        <v>34</v>
      </c>
      <c r="D643" s="3" t="s">
        <v>31</v>
      </c>
      <c r="E643" s="3">
        <v>11</v>
      </c>
      <c r="F643" s="3">
        <v>150</v>
      </c>
      <c r="G643" s="3">
        <v>1650</v>
      </c>
      <c r="H643" s="3">
        <v>0.09</v>
      </c>
      <c r="I643" s="3">
        <v>148.5</v>
      </c>
      <c r="J643" s="3" t="s">
        <v>35</v>
      </c>
    </row>
    <row r="644" spans="1:10" x14ac:dyDescent="0.35">
      <c r="A644" s="3" t="s">
        <v>674</v>
      </c>
      <c r="B644" s="4">
        <v>43309</v>
      </c>
      <c r="C644" s="3" t="s">
        <v>19</v>
      </c>
      <c r="D644" s="3" t="s">
        <v>12</v>
      </c>
      <c r="E644" s="3">
        <v>11</v>
      </c>
      <c r="F644" s="3">
        <v>230</v>
      </c>
      <c r="G644" s="3">
        <v>2530</v>
      </c>
      <c r="H644" s="3">
        <v>0.02</v>
      </c>
      <c r="I644" s="3">
        <v>50.6</v>
      </c>
      <c r="J644" s="3" t="s">
        <v>37</v>
      </c>
    </row>
    <row r="645" spans="1:10" x14ac:dyDescent="0.35">
      <c r="A645" s="3" t="s">
        <v>675</v>
      </c>
      <c r="B645" s="4">
        <v>43309</v>
      </c>
      <c r="C645" s="3" t="s">
        <v>19</v>
      </c>
      <c r="D645" s="3" t="s">
        <v>31</v>
      </c>
      <c r="E645" s="3">
        <v>13</v>
      </c>
      <c r="F645" s="3">
        <v>230</v>
      </c>
      <c r="G645" s="3">
        <v>2990</v>
      </c>
      <c r="H645" s="3">
        <v>0.06</v>
      </c>
      <c r="I645" s="3">
        <v>179.4</v>
      </c>
      <c r="J645" s="3" t="s">
        <v>39</v>
      </c>
    </row>
    <row r="646" spans="1:10" x14ac:dyDescent="0.35">
      <c r="A646" s="3" t="s">
        <v>676</v>
      </c>
      <c r="B646" s="4">
        <v>43310</v>
      </c>
      <c r="C646" s="3" t="s">
        <v>11</v>
      </c>
      <c r="D646" s="3" t="s">
        <v>27</v>
      </c>
      <c r="E646" s="3">
        <v>11</v>
      </c>
      <c r="F646" s="3">
        <v>80</v>
      </c>
      <c r="G646" s="3">
        <v>880</v>
      </c>
      <c r="H646" s="3">
        <v>0.01</v>
      </c>
      <c r="I646" s="3">
        <v>8.8000000000000007</v>
      </c>
      <c r="J646" s="3" t="s">
        <v>32</v>
      </c>
    </row>
    <row r="647" spans="1:10" x14ac:dyDescent="0.35">
      <c r="A647" s="3" t="s">
        <v>677</v>
      </c>
      <c r="B647" s="4">
        <v>43310</v>
      </c>
      <c r="C647" s="3" t="s">
        <v>11</v>
      </c>
      <c r="D647" s="3" t="s">
        <v>31</v>
      </c>
      <c r="E647" s="3">
        <v>17</v>
      </c>
      <c r="F647" s="3">
        <v>80</v>
      </c>
      <c r="G647" s="3">
        <v>1360</v>
      </c>
      <c r="H647" s="3">
        <v>7.0000000000000007E-2</v>
      </c>
      <c r="I647" s="3">
        <v>95.2</v>
      </c>
      <c r="J647" s="3" t="s">
        <v>35</v>
      </c>
    </row>
    <row r="648" spans="1:10" x14ac:dyDescent="0.35">
      <c r="A648" s="3" t="s">
        <v>678</v>
      </c>
      <c r="B648" s="4">
        <v>43310</v>
      </c>
      <c r="C648" s="3" t="s">
        <v>34</v>
      </c>
      <c r="D648" s="3" t="s">
        <v>31</v>
      </c>
      <c r="E648" s="3">
        <v>15</v>
      </c>
      <c r="F648" s="3">
        <v>150</v>
      </c>
      <c r="G648" s="3">
        <v>2250</v>
      </c>
      <c r="H648" s="3">
        <v>7.0000000000000007E-2</v>
      </c>
      <c r="I648" s="3">
        <v>157.50000000000003</v>
      </c>
      <c r="J648" s="3" t="s">
        <v>37</v>
      </c>
    </row>
    <row r="649" spans="1:10" x14ac:dyDescent="0.35">
      <c r="A649" s="3" t="s">
        <v>679</v>
      </c>
      <c r="B649" s="4">
        <v>43310</v>
      </c>
      <c r="C649" s="3" t="s">
        <v>30</v>
      </c>
      <c r="D649" s="3" t="s">
        <v>31</v>
      </c>
      <c r="E649" s="3">
        <v>14</v>
      </c>
      <c r="F649" s="3">
        <v>16</v>
      </c>
      <c r="G649" s="3">
        <v>224</v>
      </c>
      <c r="H649" s="3">
        <v>0.06</v>
      </c>
      <c r="I649" s="3">
        <v>13.44</v>
      </c>
      <c r="J649" s="3" t="s">
        <v>39</v>
      </c>
    </row>
    <row r="650" spans="1:10" x14ac:dyDescent="0.35">
      <c r="A650" s="3" t="s">
        <v>680</v>
      </c>
      <c r="B650" s="4">
        <v>43310</v>
      </c>
      <c r="C650" s="3" t="s">
        <v>30</v>
      </c>
      <c r="D650" s="3" t="s">
        <v>16</v>
      </c>
      <c r="E650" s="3">
        <v>4</v>
      </c>
      <c r="F650" s="3">
        <v>16</v>
      </c>
      <c r="G650" s="3">
        <v>64</v>
      </c>
      <c r="H650" s="3">
        <v>7.0000000000000007E-2</v>
      </c>
      <c r="I650" s="3">
        <v>4.4800000000000004</v>
      </c>
      <c r="J650" s="3" t="s">
        <v>32</v>
      </c>
    </row>
    <row r="651" spans="1:10" x14ac:dyDescent="0.35">
      <c r="A651" s="3" t="s">
        <v>681</v>
      </c>
      <c r="B651" s="4">
        <v>43310</v>
      </c>
      <c r="C651" s="3" t="s">
        <v>34</v>
      </c>
      <c r="D651" s="3" t="s">
        <v>31</v>
      </c>
      <c r="E651" s="3">
        <v>23</v>
      </c>
      <c r="F651" s="3">
        <v>150</v>
      </c>
      <c r="G651" s="3">
        <v>3450</v>
      </c>
      <c r="H651" s="3">
        <v>0.08</v>
      </c>
      <c r="I651" s="3">
        <v>276</v>
      </c>
      <c r="J651" s="3" t="s">
        <v>35</v>
      </c>
    </row>
    <row r="652" spans="1:10" x14ac:dyDescent="0.35">
      <c r="A652" s="3" t="s">
        <v>682</v>
      </c>
      <c r="B652" s="4">
        <v>43310</v>
      </c>
      <c r="C652" s="3" t="s">
        <v>11</v>
      </c>
      <c r="D652" s="3" t="s">
        <v>24</v>
      </c>
      <c r="E652" s="3">
        <v>10</v>
      </c>
      <c r="F652" s="3">
        <v>80</v>
      </c>
      <c r="G652" s="3">
        <v>800</v>
      </c>
      <c r="H652" s="3">
        <v>0.11</v>
      </c>
      <c r="I652" s="3">
        <v>88</v>
      </c>
      <c r="J652" s="3" t="s">
        <v>37</v>
      </c>
    </row>
    <row r="653" spans="1:10" x14ac:dyDescent="0.35">
      <c r="A653" s="3" t="s">
        <v>683</v>
      </c>
      <c r="B653" s="4">
        <v>43310</v>
      </c>
      <c r="C653" s="3" t="s">
        <v>19</v>
      </c>
      <c r="D653" s="3" t="s">
        <v>24</v>
      </c>
      <c r="E653" s="3">
        <v>7</v>
      </c>
      <c r="F653" s="3">
        <v>230</v>
      </c>
      <c r="G653" s="3">
        <v>1610</v>
      </c>
      <c r="H653" s="3">
        <v>0.01</v>
      </c>
      <c r="I653" s="3">
        <v>16.100000000000001</v>
      </c>
      <c r="J653" s="3" t="s">
        <v>39</v>
      </c>
    </row>
    <row r="654" spans="1:10" x14ac:dyDescent="0.35">
      <c r="A654" s="3" t="s">
        <v>684</v>
      </c>
      <c r="B654" s="4">
        <v>43310</v>
      </c>
      <c r="C654" s="3" t="s">
        <v>19</v>
      </c>
      <c r="D654" s="3" t="s">
        <v>12</v>
      </c>
      <c r="E654" s="3">
        <v>16</v>
      </c>
      <c r="F654" s="3">
        <v>230</v>
      </c>
      <c r="G654" s="3">
        <v>3680</v>
      </c>
      <c r="H654" s="3">
        <v>7.0000000000000007E-2</v>
      </c>
      <c r="I654" s="3">
        <v>257.60000000000002</v>
      </c>
      <c r="J654" s="3" t="s">
        <v>32</v>
      </c>
    </row>
    <row r="655" spans="1:10" x14ac:dyDescent="0.35">
      <c r="A655" s="3" t="s">
        <v>685</v>
      </c>
      <c r="B655" s="4">
        <v>43310</v>
      </c>
      <c r="C655" s="3" t="s">
        <v>30</v>
      </c>
      <c r="D655" s="3" t="s">
        <v>31</v>
      </c>
      <c r="E655" s="3">
        <v>17</v>
      </c>
      <c r="F655" s="3">
        <v>16</v>
      </c>
      <c r="G655" s="3">
        <v>272</v>
      </c>
      <c r="H655" s="3">
        <v>0.08</v>
      </c>
      <c r="I655" s="3">
        <v>21.76</v>
      </c>
      <c r="J655" s="3" t="s">
        <v>35</v>
      </c>
    </row>
    <row r="656" spans="1:10" x14ac:dyDescent="0.35">
      <c r="A656" s="3" t="s">
        <v>686</v>
      </c>
      <c r="B656" s="4">
        <v>43311</v>
      </c>
      <c r="C656" s="3" t="s">
        <v>11</v>
      </c>
      <c r="D656" s="3" t="s">
        <v>31</v>
      </c>
      <c r="E656" s="3">
        <v>6</v>
      </c>
      <c r="F656" s="3">
        <v>80</v>
      </c>
      <c r="G656" s="3">
        <v>480</v>
      </c>
      <c r="H656" s="3">
        <v>0.09</v>
      </c>
      <c r="I656" s="3">
        <v>43.199999999999996</v>
      </c>
      <c r="J656" s="3" t="s">
        <v>37</v>
      </c>
    </row>
    <row r="657" spans="1:10" x14ac:dyDescent="0.35">
      <c r="A657" s="3" t="s">
        <v>687</v>
      </c>
      <c r="B657" s="4">
        <v>43311</v>
      </c>
      <c r="C657" s="3" t="s">
        <v>34</v>
      </c>
      <c r="D657" s="3" t="s">
        <v>24</v>
      </c>
      <c r="E657" s="3">
        <v>22</v>
      </c>
      <c r="F657" s="3">
        <v>150</v>
      </c>
      <c r="G657" s="3">
        <v>3300</v>
      </c>
      <c r="H657" s="3">
        <v>0.04</v>
      </c>
      <c r="I657" s="3">
        <v>132</v>
      </c>
      <c r="J657" s="3" t="s">
        <v>39</v>
      </c>
    </row>
    <row r="658" spans="1:10" x14ac:dyDescent="0.35">
      <c r="A658" s="3" t="s">
        <v>688</v>
      </c>
      <c r="B658" s="4">
        <v>43311</v>
      </c>
      <c r="C658" s="3" t="s">
        <v>15</v>
      </c>
      <c r="D658" s="3" t="s">
        <v>31</v>
      </c>
      <c r="E658" s="3">
        <v>20</v>
      </c>
      <c r="F658" s="3">
        <v>40</v>
      </c>
      <c r="G658" s="3">
        <v>800</v>
      </c>
      <c r="H658" s="3">
        <v>0.03</v>
      </c>
      <c r="I658" s="3">
        <v>24</v>
      </c>
      <c r="J658" s="3" t="s">
        <v>32</v>
      </c>
    </row>
    <row r="659" spans="1:10" x14ac:dyDescent="0.35">
      <c r="A659" s="3" t="s">
        <v>689</v>
      </c>
      <c r="B659" s="4">
        <v>43311</v>
      </c>
      <c r="C659" s="3" t="s">
        <v>34</v>
      </c>
      <c r="D659" s="3" t="s">
        <v>16</v>
      </c>
      <c r="E659" s="3">
        <v>16</v>
      </c>
      <c r="F659" s="3">
        <v>150</v>
      </c>
      <c r="G659" s="3">
        <v>2400</v>
      </c>
      <c r="H659" s="3">
        <v>0.08</v>
      </c>
      <c r="I659" s="3">
        <v>192</v>
      </c>
      <c r="J659" s="3" t="s">
        <v>35</v>
      </c>
    </row>
    <row r="660" spans="1:10" x14ac:dyDescent="0.35">
      <c r="A660" s="3" t="s">
        <v>690</v>
      </c>
      <c r="B660" s="4">
        <v>43311</v>
      </c>
      <c r="C660" s="3" t="s">
        <v>11</v>
      </c>
      <c r="D660" s="3" t="s">
        <v>16</v>
      </c>
      <c r="E660" s="3">
        <v>5</v>
      </c>
      <c r="F660" s="3">
        <v>80</v>
      </c>
      <c r="G660" s="3">
        <v>400</v>
      </c>
      <c r="H660" s="3">
        <v>7.0000000000000007E-2</v>
      </c>
      <c r="I660" s="3">
        <v>28.000000000000004</v>
      </c>
      <c r="J660" s="3" t="s">
        <v>37</v>
      </c>
    </row>
    <row r="661" spans="1:10" x14ac:dyDescent="0.35">
      <c r="A661" s="3" t="s">
        <v>691</v>
      </c>
      <c r="B661" s="4">
        <v>43311</v>
      </c>
      <c r="C661" s="3" t="s">
        <v>34</v>
      </c>
      <c r="D661" s="3" t="s">
        <v>27</v>
      </c>
      <c r="E661" s="3">
        <v>6</v>
      </c>
      <c r="F661" s="3">
        <v>150</v>
      </c>
      <c r="G661" s="3">
        <v>900</v>
      </c>
      <c r="H661" s="3">
        <v>0.03</v>
      </c>
      <c r="I661" s="3">
        <v>27</v>
      </c>
      <c r="J661" s="3" t="s">
        <v>39</v>
      </c>
    </row>
    <row r="662" spans="1:10" x14ac:dyDescent="0.35">
      <c r="A662" s="3" t="s">
        <v>692</v>
      </c>
      <c r="B662" s="4">
        <v>43312</v>
      </c>
      <c r="C662" s="3" t="s">
        <v>11</v>
      </c>
      <c r="D662" s="3" t="s">
        <v>16</v>
      </c>
      <c r="E662" s="3">
        <v>9</v>
      </c>
      <c r="F662" s="3">
        <v>80</v>
      </c>
      <c r="G662" s="3">
        <v>720</v>
      </c>
      <c r="H662" s="3">
        <v>0.03</v>
      </c>
      <c r="I662" s="3">
        <v>21.599999999999998</v>
      </c>
      <c r="J662" s="3" t="s">
        <v>32</v>
      </c>
    </row>
    <row r="663" spans="1:10" x14ac:dyDescent="0.35">
      <c r="A663" s="3" t="s">
        <v>693</v>
      </c>
      <c r="B663" s="4">
        <v>43312</v>
      </c>
      <c r="C663" s="3" t="s">
        <v>11</v>
      </c>
      <c r="D663" s="3" t="s">
        <v>12</v>
      </c>
      <c r="E663" s="3">
        <v>8</v>
      </c>
      <c r="F663" s="3">
        <v>80</v>
      </c>
      <c r="G663" s="3">
        <v>640</v>
      </c>
      <c r="H663" s="3">
        <v>0.08</v>
      </c>
      <c r="I663" s="3">
        <v>51.2</v>
      </c>
      <c r="J663" s="3" t="s">
        <v>35</v>
      </c>
    </row>
    <row r="664" spans="1:10" x14ac:dyDescent="0.35">
      <c r="A664" s="3" t="s">
        <v>694</v>
      </c>
      <c r="B664" s="4">
        <v>43312</v>
      </c>
      <c r="C664" s="3" t="s">
        <v>19</v>
      </c>
      <c r="D664" s="3" t="s">
        <v>27</v>
      </c>
      <c r="E664" s="3">
        <v>8</v>
      </c>
      <c r="F664" s="3">
        <v>230</v>
      </c>
      <c r="G664" s="3">
        <v>1840</v>
      </c>
      <c r="H664" s="3">
        <v>0.01</v>
      </c>
      <c r="I664" s="3">
        <v>18.400000000000002</v>
      </c>
      <c r="J664" s="3" t="s">
        <v>37</v>
      </c>
    </row>
    <row r="665" spans="1:10" x14ac:dyDescent="0.35">
      <c r="A665" s="3" t="s">
        <v>695</v>
      </c>
      <c r="B665" s="4">
        <v>43312</v>
      </c>
      <c r="C665" s="3" t="s">
        <v>30</v>
      </c>
      <c r="D665" s="3" t="s">
        <v>31</v>
      </c>
      <c r="E665" s="3">
        <v>12</v>
      </c>
      <c r="F665" s="3">
        <v>16</v>
      </c>
      <c r="G665" s="3">
        <v>192</v>
      </c>
      <c r="H665" s="3">
        <v>0.04</v>
      </c>
      <c r="I665" s="3">
        <v>7.68</v>
      </c>
      <c r="J665" s="3" t="s">
        <v>39</v>
      </c>
    </row>
    <row r="666" spans="1:10" x14ac:dyDescent="0.35">
      <c r="A666" s="3" t="s">
        <v>696</v>
      </c>
      <c r="B666" s="4">
        <v>43312</v>
      </c>
      <c r="C666" s="3" t="s">
        <v>30</v>
      </c>
      <c r="D666" s="3" t="s">
        <v>27</v>
      </c>
      <c r="E666" s="3">
        <v>18</v>
      </c>
      <c r="F666" s="3">
        <v>16</v>
      </c>
      <c r="G666" s="3">
        <v>288</v>
      </c>
      <c r="H666" s="3">
        <v>0.04</v>
      </c>
      <c r="I666" s="3">
        <v>11.52</v>
      </c>
      <c r="J666" s="3" t="s">
        <v>32</v>
      </c>
    </row>
    <row r="667" spans="1:10" x14ac:dyDescent="0.35">
      <c r="A667" s="3" t="s">
        <v>697</v>
      </c>
      <c r="B667" s="4">
        <v>43282</v>
      </c>
      <c r="C667" s="3" t="s">
        <v>30</v>
      </c>
      <c r="D667" s="3" t="s">
        <v>27</v>
      </c>
      <c r="E667" s="3">
        <v>10</v>
      </c>
      <c r="F667" s="3">
        <v>16</v>
      </c>
      <c r="G667" s="3">
        <v>160</v>
      </c>
      <c r="H667" s="3">
        <v>0.01</v>
      </c>
      <c r="I667" s="3">
        <v>1.6</v>
      </c>
      <c r="J667" s="3" t="s">
        <v>35</v>
      </c>
    </row>
    <row r="668" spans="1:10" x14ac:dyDescent="0.35">
      <c r="A668" s="3" t="s">
        <v>698</v>
      </c>
      <c r="B668" s="4">
        <v>43282</v>
      </c>
      <c r="C668" s="3" t="s">
        <v>30</v>
      </c>
      <c r="D668" s="3" t="s">
        <v>27</v>
      </c>
      <c r="E668" s="3">
        <v>14</v>
      </c>
      <c r="F668" s="3">
        <v>16</v>
      </c>
      <c r="G668" s="3">
        <v>224</v>
      </c>
      <c r="H668" s="3">
        <v>0.12</v>
      </c>
      <c r="I668" s="3">
        <v>26.88</v>
      </c>
      <c r="J668" s="3" t="s">
        <v>37</v>
      </c>
    </row>
    <row r="669" spans="1:10" x14ac:dyDescent="0.35">
      <c r="A669" s="3" t="s">
        <v>699</v>
      </c>
      <c r="B669" s="4">
        <v>43282</v>
      </c>
      <c r="C669" s="3" t="s">
        <v>15</v>
      </c>
      <c r="D669" s="3" t="s">
        <v>24</v>
      </c>
      <c r="E669" s="3">
        <v>6</v>
      </c>
      <c r="F669" s="3">
        <v>40</v>
      </c>
      <c r="G669" s="3">
        <v>240</v>
      </c>
      <c r="H669" s="3">
        <v>0.06</v>
      </c>
      <c r="I669" s="3">
        <v>14.399999999999999</v>
      </c>
      <c r="J669" s="3" t="s">
        <v>39</v>
      </c>
    </row>
    <row r="670" spans="1:10" x14ac:dyDescent="0.35">
      <c r="A670" s="3" t="s">
        <v>700</v>
      </c>
      <c r="B670" s="4">
        <v>43282</v>
      </c>
      <c r="C670" s="3" t="s">
        <v>15</v>
      </c>
      <c r="D670" s="3" t="s">
        <v>27</v>
      </c>
      <c r="E670" s="3">
        <v>13</v>
      </c>
      <c r="F670" s="3">
        <v>40</v>
      </c>
      <c r="G670" s="3">
        <v>520</v>
      </c>
      <c r="H670" s="3">
        <v>0.09</v>
      </c>
      <c r="I670" s="3">
        <v>46.8</v>
      </c>
      <c r="J670" s="3" t="s">
        <v>32</v>
      </c>
    </row>
    <row r="671" spans="1:10" x14ac:dyDescent="0.35">
      <c r="A671" s="3" t="s">
        <v>701</v>
      </c>
      <c r="B671" s="4">
        <v>43282</v>
      </c>
      <c r="C671" s="3" t="s">
        <v>30</v>
      </c>
      <c r="D671" s="3" t="s">
        <v>27</v>
      </c>
      <c r="E671" s="3">
        <v>10</v>
      </c>
      <c r="F671" s="3">
        <v>16</v>
      </c>
      <c r="G671" s="3">
        <v>160</v>
      </c>
      <c r="H671" s="3">
        <v>0.04</v>
      </c>
      <c r="I671" s="3">
        <v>6.4</v>
      </c>
      <c r="J671" s="3" t="s">
        <v>35</v>
      </c>
    </row>
    <row r="672" spans="1:10" x14ac:dyDescent="0.35">
      <c r="A672" s="3" t="s">
        <v>702</v>
      </c>
      <c r="B672" s="4">
        <v>43282</v>
      </c>
      <c r="C672" s="3" t="s">
        <v>11</v>
      </c>
      <c r="D672" s="3" t="s">
        <v>16</v>
      </c>
      <c r="E672" s="3">
        <v>14</v>
      </c>
      <c r="F672" s="3">
        <v>80</v>
      </c>
      <c r="G672" s="3">
        <v>1120</v>
      </c>
      <c r="H672" s="3">
        <v>0.11</v>
      </c>
      <c r="I672" s="3">
        <v>123.2</v>
      </c>
      <c r="J672" s="3" t="s">
        <v>37</v>
      </c>
    </row>
    <row r="673" spans="1:10" x14ac:dyDescent="0.35">
      <c r="A673" s="3" t="s">
        <v>703</v>
      </c>
      <c r="B673" s="4">
        <v>43282</v>
      </c>
      <c r="C673" s="3" t="s">
        <v>15</v>
      </c>
      <c r="D673" s="3" t="s">
        <v>16</v>
      </c>
      <c r="E673" s="3">
        <v>4</v>
      </c>
      <c r="F673" s="3">
        <v>40</v>
      </c>
      <c r="G673" s="3">
        <v>160</v>
      </c>
      <c r="H673" s="3">
        <v>0.06</v>
      </c>
      <c r="I673" s="3">
        <v>9.6</v>
      </c>
      <c r="J673" s="3" t="s">
        <v>39</v>
      </c>
    </row>
    <row r="674" spans="1:10" x14ac:dyDescent="0.35">
      <c r="A674" s="3" t="s">
        <v>704</v>
      </c>
      <c r="B674" s="4">
        <v>43282</v>
      </c>
      <c r="C674" s="3" t="s">
        <v>15</v>
      </c>
      <c r="D674" s="3" t="s">
        <v>24</v>
      </c>
      <c r="E674" s="3">
        <v>11</v>
      </c>
      <c r="F674" s="3">
        <v>40</v>
      </c>
      <c r="G674" s="3">
        <v>440</v>
      </c>
      <c r="H674" s="3">
        <v>0.05</v>
      </c>
      <c r="I674" s="3">
        <v>22</v>
      </c>
      <c r="J674" s="3" t="s">
        <v>32</v>
      </c>
    </row>
    <row r="675" spans="1:10" x14ac:dyDescent="0.35">
      <c r="A675" s="3" t="s">
        <v>705</v>
      </c>
      <c r="B675" s="4">
        <v>43282</v>
      </c>
      <c r="C675" s="3" t="s">
        <v>30</v>
      </c>
      <c r="D675" s="3" t="s">
        <v>24</v>
      </c>
      <c r="E675" s="3">
        <v>14</v>
      </c>
      <c r="F675" s="3">
        <v>16</v>
      </c>
      <c r="G675" s="3">
        <v>224</v>
      </c>
      <c r="H675" s="3">
        <v>0.01</v>
      </c>
      <c r="I675" s="3">
        <v>2.2400000000000002</v>
      </c>
      <c r="J675" s="3" t="s">
        <v>35</v>
      </c>
    </row>
    <row r="676" spans="1:10" x14ac:dyDescent="0.35">
      <c r="A676" s="3" t="s">
        <v>706</v>
      </c>
      <c r="B676" s="4">
        <v>43282</v>
      </c>
      <c r="C676" s="3" t="s">
        <v>34</v>
      </c>
      <c r="D676" s="3" t="s">
        <v>12</v>
      </c>
      <c r="E676" s="3">
        <v>20</v>
      </c>
      <c r="F676" s="3">
        <v>150</v>
      </c>
      <c r="G676" s="3">
        <v>3000</v>
      </c>
      <c r="H676" s="3">
        <v>0.04</v>
      </c>
      <c r="I676" s="3">
        <v>120</v>
      </c>
      <c r="J676" s="3" t="s">
        <v>37</v>
      </c>
    </row>
    <row r="677" spans="1:10" x14ac:dyDescent="0.35">
      <c r="A677" s="3" t="s">
        <v>707</v>
      </c>
      <c r="B677" s="4">
        <v>43282</v>
      </c>
      <c r="C677" s="3" t="s">
        <v>15</v>
      </c>
      <c r="D677" s="3" t="s">
        <v>27</v>
      </c>
      <c r="E677" s="3">
        <v>9</v>
      </c>
      <c r="F677" s="3">
        <v>40</v>
      </c>
      <c r="G677" s="3">
        <v>360</v>
      </c>
      <c r="H677" s="3">
        <v>0.06</v>
      </c>
      <c r="I677" s="3">
        <v>21.599999999999998</v>
      </c>
      <c r="J677" s="3" t="s">
        <v>39</v>
      </c>
    </row>
    <row r="678" spans="1:10" x14ac:dyDescent="0.35">
      <c r="A678" s="3" t="s">
        <v>708</v>
      </c>
      <c r="B678" s="4">
        <v>43282</v>
      </c>
      <c r="C678" s="3" t="s">
        <v>34</v>
      </c>
      <c r="D678" s="3" t="s">
        <v>24</v>
      </c>
      <c r="E678" s="3">
        <v>18</v>
      </c>
      <c r="F678" s="3">
        <v>150</v>
      </c>
      <c r="G678" s="3">
        <v>2700</v>
      </c>
      <c r="H678" s="3">
        <v>0.06</v>
      </c>
      <c r="I678" s="3">
        <v>162</v>
      </c>
      <c r="J678" s="3" t="s">
        <v>32</v>
      </c>
    </row>
    <row r="679" spans="1:10" x14ac:dyDescent="0.35">
      <c r="A679" s="3" t="s">
        <v>709</v>
      </c>
      <c r="B679" s="4">
        <v>43282</v>
      </c>
      <c r="C679" s="3" t="s">
        <v>19</v>
      </c>
      <c r="D679" s="3" t="s">
        <v>31</v>
      </c>
      <c r="E679" s="3">
        <v>17</v>
      </c>
      <c r="F679" s="3">
        <v>230</v>
      </c>
      <c r="G679" s="3">
        <v>3910</v>
      </c>
      <c r="H679" s="3">
        <v>0.11</v>
      </c>
      <c r="I679" s="3">
        <v>430.1</v>
      </c>
      <c r="J679" s="3" t="s">
        <v>35</v>
      </c>
    </row>
    <row r="680" spans="1:10" x14ac:dyDescent="0.35">
      <c r="A680" s="3" t="s">
        <v>710</v>
      </c>
      <c r="B680" s="4">
        <v>43283</v>
      </c>
      <c r="C680" s="3" t="s">
        <v>15</v>
      </c>
      <c r="D680" s="3" t="s">
        <v>12</v>
      </c>
      <c r="E680" s="3">
        <v>20</v>
      </c>
      <c r="F680" s="3">
        <v>40</v>
      </c>
      <c r="G680" s="3">
        <v>800</v>
      </c>
      <c r="H680" s="3">
        <v>0.04</v>
      </c>
      <c r="I680" s="3">
        <v>32</v>
      </c>
      <c r="J680" s="3" t="s">
        <v>37</v>
      </c>
    </row>
    <row r="681" spans="1:10" x14ac:dyDescent="0.35">
      <c r="A681" s="3" t="s">
        <v>711</v>
      </c>
      <c r="B681" s="4">
        <v>43283</v>
      </c>
      <c r="C681" s="3" t="s">
        <v>15</v>
      </c>
      <c r="D681" s="3" t="s">
        <v>12</v>
      </c>
      <c r="E681" s="3">
        <v>23</v>
      </c>
      <c r="F681" s="3">
        <v>40</v>
      </c>
      <c r="G681" s="3">
        <v>920</v>
      </c>
      <c r="H681" s="3">
        <v>0.03</v>
      </c>
      <c r="I681" s="3">
        <v>27.599999999999998</v>
      </c>
      <c r="J681" s="3" t="s">
        <v>39</v>
      </c>
    </row>
    <row r="682" spans="1:10" x14ac:dyDescent="0.35">
      <c r="A682" s="3" t="s">
        <v>712</v>
      </c>
      <c r="B682" s="4">
        <v>43283</v>
      </c>
      <c r="C682" s="3" t="s">
        <v>19</v>
      </c>
      <c r="D682" s="3" t="s">
        <v>31</v>
      </c>
      <c r="E682" s="3">
        <v>21</v>
      </c>
      <c r="F682" s="3">
        <v>230</v>
      </c>
      <c r="G682" s="3">
        <v>4830</v>
      </c>
      <c r="H682" s="3">
        <v>0.05</v>
      </c>
      <c r="I682" s="3">
        <v>241.5</v>
      </c>
      <c r="J682" s="3" t="s">
        <v>32</v>
      </c>
    </row>
    <row r="683" spans="1:10" x14ac:dyDescent="0.35">
      <c r="A683" s="3" t="s">
        <v>713</v>
      </c>
      <c r="B683" s="4">
        <v>43283</v>
      </c>
      <c r="C683" s="3" t="s">
        <v>11</v>
      </c>
      <c r="D683" s="3" t="s">
        <v>24</v>
      </c>
      <c r="E683" s="3">
        <v>6</v>
      </c>
      <c r="F683" s="3">
        <v>80</v>
      </c>
      <c r="G683" s="3">
        <v>480</v>
      </c>
      <c r="H683" s="3">
        <v>0.09</v>
      </c>
      <c r="I683" s="3">
        <v>43.199999999999996</v>
      </c>
      <c r="J683" s="3" t="s">
        <v>35</v>
      </c>
    </row>
    <row r="684" spans="1:10" x14ac:dyDescent="0.35">
      <c r="A684" s="3" t="s">
        <v>714</v>
      </c>
      <c r="B684" s="4">
        <v>43283</v>
      </c>
      <c r="C684" s="3" t="s">
        <v>30</v>
      </c>
      <c r="D684" s="3" t="s">
        <v>12</v>
      </c>
      <c r="E684" s="3">
        <v>20</v>
      </c>
      <c r="F684" s="3">
        <v>16</v>
      </c>
      <c r="G684" s="3">
        <v>320</v>
      </c>
      <c r="H684" s="3">
        <v>0.01</v>
      </c>
      <c r="I684" s="3">
        <v>3.2</v>
      </c>
      <c r="J684" s="3" t="s">
        <v>37</v>
      </c>
    </row>
    <row r="685" spans="1:10" x14ac:dyDescent="0.35">
      <c r="A685" s="3" t="s">
        <v>715</v>
      </c>
      <c r="B685" s="4">
        <v>43283</v>
      </c>
      <c r="C685" s="3" t="s">
        <v>15</v>
      </c>
      <c r="D685" s="3" t="s">
        <v>16</v>
      </c>
      <c r="E685" s="3">
        <v>8</v>
      </c>
      <c r="F685" s="3">
        <v>40</v>
      </c>
      <c r="G685" s="3">
        <v>320</v>
      </c>
      <c r="H685" s="3">
        <v>0.09</v>
      </c>
      <c r="I685" s="3">
        <v>28.799999999999997</v>
      </c>
      <c r="J685" s="3" t="s">
        <v>39</v>
      </c>
    </row>
    <row r="686" spans="1:10" x14ac:dyDescent="0.35">
      <c r="A686" s="3" t="s">
        <v>716</v>
      </c>
      <c r="B686" s="4">
        <v>43283</v>
      </c>
      <c r="C686" s="3" t="s">
        <v>19</v>
      </c>
      <c r="D686" s="3" t="s">
        <v>16</v>
      </c>
      <c r="E686" s="3">
        <v>15</v>
      </c>
      <c r="F686" s="3">
        <v>230</v>
      </c>
      <c r="G686" s="3">
        <v>3450</v>
      </c>
      <c r="H686" s="3">
        <v>0.09</v>
      </c>
      <c r="I686" s="3">
        <v>310.5</v>
      </c>
      <c r="J686" s="3" t="s">
        <v>32</v>
      </c>
    </row>
    <row r="687" spans="1:10" x14ac:dyDescent="0.35">
      <c r="A687" s="3" t="s">
        <v>717</v>
      </c>
      <c r="B687" s="4">
        <v>43284</v>
      </c>
      <c r="C687" s="3" t="s">
        <v>11</v>
      </c>
      <c r="D687" s="3" t="s">
        <v>27</v>
      </c>
      <c r="E687" s="3">
        <v>21</v>
      </c>
      <c r="F687" s="3">
        <v>80</v>
      </c>
      <c r="G687" s="3">
        <v>1680</v>
      </c>
      <c r="H687" s="3">
        <v>0.02</v>
      </c>
      <c r="I687" s="3">
        <v>33.6</v>
      </c>
      <c r="J687" s="3" t="s">
        <v>35</v>
      </c>
    </row>
    <row r="688" spans="1:10" x14ac:dyDescent="0.35">
      <c r="A688" s="3" t="s">
        <v>718</v>
      </c>
      <c r="B688" s="4">
        <v>43284</v>
      </c>
      <c r="C688" s="3" t="s">
        <v>11</v>
      </c>
      <c r="D688" s="3" t="s">
        <v>27</v>
      </c>
      <c r="E688" s="3">
        <v>19</v>
      </c>
      <c r="F688" s="3">
        <v>80</v>
      </c>
      <c r="G688" s="3">
        <v>1520</v>
      </c>
      <c r="H688" s="3">
        <v>0.02</v>
      </c>
      <c r="I688" s="3">
        <v>30.400000000000002</v>
      </c>
      <c r="J688" s="3" t="s">
        <v>37</v>
      </c>
    </row>
    <row r="689" spans="1:10" x14ac:dyDescent="0.35">
      <c r="A689" s="3" t="s">
        <v>719</v>
      </c>
      <c r="B689" s="4">
        <v>43284</v>
      </c>
      <c r="C689" s="3" t="s">
        <v>30</v>
      </c>
      <c r="D689" s="3" t="s">
        <v>12</v>
      </c>
      <c r="E689" s="3">
        <v>7</v>
      </c>
      <c r="F689" s="3">
        <v>16</v>
      </c>
      <c r="G689" s="3">
        <v>112</v>
      </c>
      <c r="H689" s="3">
        <v>0.08</v>
      </c>
      <c r="I689" s="3">
        <v>8.9600000000000009</v>
      </c>
      <c r="J689" s="3" t="s">
        <v>39</v>
      </c>
    </row>
    <row r="690" spans="1:10" x14ac:dyDescent="0.35">
      <c r="A690" s="3" t="s">
        <v>720</v>
      </c>
      <c r="B690" s="4">
        <v>43284</v>
      </c>
      <c r="C690" s="3" t="s">
        <v>15</v>
      </c>
      <c r="D690" s="3" t="s">
        <v>31</v>
      </c>
      <c r="E690" s="3">
        <v>11</v>
      </c>
      <c r="F690" s="3">
        <v>40</v>
      </c>
      <c r="G690" s="3">
        <v>440</v>
      </c>
      <c r="H690" s="3">
        <v>0.05</v>
      </c>
      <c r="I690" s="3">
        <v>22</v>
      </c>
      <c r="J690" s="3" t="s">
        <v>32</v>
      </c>
    </row>
    <row r="691" spans="1:10" x14ac:dyDescent="0.35">
      <c r="A691" s="3" t="s">
        <v>721</v>
      </c>
      <c r="B691" s="4">
        <v>43284</v>
      </c>
      <c r="C691" s="3" t="s">
        <v>19</v>
      </c>
      <c r="D691" s="3" t="s">
        <v>27</v>
      </c>
      <c r="E691" s="3">
        <v>8</v>
      </c>
      <c r="F691" s="3">
        <v>230</v>
      </c>
      <c r="G691" s="3">
        <v>1840</v>
      </c>
      <c r="H691" s="3">
        <v>0.05</v>
      </c>
      <c r="I691" s="3">
        <v>92</v>
      </c>
      <c r="J691" s="3" t="s">
        <v>35</v>
      </c>
    </row>
    <row r="692" spans="1:10" x14ac:dyDescent="0.35">
      <c r="A692" s="3" t="s">
        <v>722</v>
      </c>
      <c r="B692" s="4">
        <v>43284</v>
      </c>
      <c r="C692" s="3" t="s">
        <v>11</v>
      </c>
      <c r="D692" s="3" t="s">
        <v>12</v>
      </c>
      <c r="E692" s="3">
        <v>18</v>
      </c>
      <c r="F692" s="3">
        <v>80</v>
      </c>
      <c r="G692" s="3">
        <v>1440</v>
      </c>
      <c r="H692" s="3">
        <v>0.02</v>
      </c>
      <c r="I692" s="3">
        <v>28.8</v>
      </c>
      <c r="J692" s="3" t="s">
        <v>37</v>
      </c>
    </row>
    <row r="693" spans="1:10" x14ac:dyDescent="0.35">
      <c r="A693" s="3" t="s">
        <v>723</v>
      </c>
      <c r="B693" s="4">
        <v>43284</v>
      </c>
      <c r="C693" s="3" t="s">
        <v>15</v>
      </c>
      <c r="D693" s="3" t="s">
        <v>12</v>
      </c>
      <c r="E693" s="3">
        <v>7</v>
      </c>
      <c r="F693" s="3">
        <v>40</v>
      </c>
      <c r="G693" s="3">
        <v>280</v>
      </c>
      <c r="H693" s="3">
        <v>0.1</v>
      </c>
      <c r="I693" s="3">
        <v>28</v>
      </c>
      <c r="J693" s="3" t="s">
        <v>39</v>
      </c>
    </row>
    <row r="694" spans="1:10" x14ac:dyDescent="0.35">
      <c r="A694" s="3" t="s">
        <v>724</v>
      </c>
      <c r="B694" s="4">
        <v>43285</v>
      </c>
      <c r="C694" s="3" t="s">
        <v>30</v>
      </c>
      <c r="D694" s="3" t="s">
        <v>12</v>
      </c>
      <c r="E694" s="3">
        <v>16</v>
      </c>
      <c r="F694" s="3">
        <v>16</v>
      </c>
      <c r="G694" s="3">
        <v>256</v>
      </c>
      <c r="H694" s="3">
        <v>0.03</v>
      </c>
      <c r="I694" s="3">
        <v>7.68</v>
      </c>
      <c r="J694" s="3" t="s">
        <v>32</v>
      </c>
    </row>
    <row r="695" spans="1:10" x14ac:dyDescent="0.35">
      <c r="A695" s="3" t="s">
        <v>725</v>
      </c>
      <c r="B695" s="4">
        <v>43285</v>
      </c>
      <c r="C695" s="3" t="s">
        <v>11</v>
      </c>
      <c r="D695" s="3" t="s">
        <v>12</v>
      </c>
      <c r="E695" s="3">
        <v>8</v>
      </c>
      <c r="F695" s="3">
        <v>80</v>
      </c>
      <c r="G695" s="3">
        <v>640</v>
      </c>
      <c r="H695" s="3">
        <v>0.08</v>
      </c>
      <c r="I695" s="3">
        <v>51.2</v>
      </c>
      <c r="J695" s="3" t="s">
        <v>35</v>
      </c>
    </row>
    <row r="696" spans="1:10" x14ac:dyDescent="0.35">
      <c r="A696" s="3" t="s">
        <v>726</v>
      </c>
      <c r="B696" s="4">
        <v>43285</v>
      </c>
      <c r="C696" s="3" t="s">
        <v>19</v>
      </c>
      <c r="D696" s="3" t="s">
        <v>31</v>
      </c>
      <c r="E696" s="3">
        <v>22</v>
      </c>
      <c r="F696" s="3">
        <v>230</v>
      </c>
      <c r="G696" s="3">
        <v>5060</v>
      </c>
      <c r="H696" s="3">
        <v>0.1</v>
      </c>
      <c r="I696" s="3">
        <v>506</v>
      </c>
      <c r="J696" s="3" t="s">
        <v>37</v>
      </c>
    </row>
    <row r="697" spans="1:10" x14ac:dyDescent="0.35">
      <c r="A697" s="3" t="s">
        <v>727</v>
      </c>
      <c r="B697" s="4">
        <v>43285</v>
      </c>
      <c r="C697" s="3" t="s">
        <v>19</v>
      </c>
      <c r="D697" s="3" t="s">
        <v>31</v>
      </c>
      <c r="E697" s="3">
        <v>3</v>
      </c>
      <c r="F697" s="3">
        <v>230</v>
      </c>
      <c r="G697" s="3">
        <v>690</v>
      </c>
      <c r="H697" s="3">
        <v>0.1</v>
      </c>
      <c r="I697" s="3">
        <v>69</v>
      </c>
      <c r="J697" s="3" t="s">
        <v>39</v>
      </c>
    </row>
    <row r="698" spans="1:10" x14ac:dyDescent="0.35">
      <c r="A698" s="3" t="s">
        <v>728</v>
      </c>
      <c r="B698" s="4">
        <v>43285</v>
      </c>
      <c r="C698" s="3" t="s">
        <v>19</v>
      </c>
      <c r="D698" s="3" t="s">
        <v>31</v>
      </c>
      <c r="E698" s="3">
        <v>20</v>
      </c>
      <c r="F698" s="3">
        <v>230</v>
      </c>
      <c r="G698" s="3">
        <v>4600</v>
      </c>
      <c r="H698" s="3">
        <v>0.11</v>
      </c>
      <c r="I698" s="3">
        <v>506</v>
      </c>
      <c r="J698" s="3" t="s">
        <v>32</v>
      </c>
    </row>
    <row r="699" spans="1:10" x14ac:dyDescent="0.35">
      <c r="A699" s="3" t="s">
        <v>729</v>
      </c>
      <c r="B699" s="4">
        <v>43285</v>
      </c>
      <c r="C699" s="3" t="s">
        <v>30</v>
      </c>
      <c r="D699" s="3" t="s">
        <v>24</v>
      </c>
      <c r="E699" s="3">
        <v>12</v>
      </c>
      <c r="F699" s="3">
        <v>16</v>
      </c>
      <c r="G699" s="3">
        <v>192</v>
      </c>
      <c r="H699" s="3">
        <v>0.03</v>
      </c>
      <c r="I699" s="3">
        <v>5.76</v>
      </c>
      <c r="J699" s="3" t="s">
        <v>35</v>
      </c>
    </row>
    <row r="700" spans="1:10" x14ac:dyDescent="0.35">
      <c r="A700" s="3" t="s">
        <v>730</v>
      </c>
      <c r="B700" s="4">
        <v>43285</v>
      </c>
      <c r="C700" s="3" t="s">
        <v>15</v>
      </c>
      <c r="D700" s="3" t="s">
        <v>31</v>
      </c>
      <c r="E700" s="3">
        <v>20</v>
      </c>
      <c r="F700" s="3">
        <v>40</v>
      </c>
      <c r="G700" s="3">
        <v>800</v>
      </c>
      <c r="H700" s="3">
        <v>7.0000000000000007E-2</v>
      </c>
      <c r="I700" s="3">
        <v>56.000000000000007</v>
      </c>
      <c r="J700" s="3" t="s">
        <v>37</v>
      </c>
    </row>
    <row r="701" spans="1:10" x14ac:dyDescent="0.35">
      <c r="A701" s="3" t="s">
        <v>731</v>
      </c>
      <c r="B701" s="4">
        <v>43285</v>
      </c>
      <c r="C701" s="3" t="s">
        <v>19</v>
      </c>
      <c r="D701" s="3" t="s">
        <v>12</v>
      </c>
      <c r="E701" s="3">
        <v>3</v>
      </c>
      <c r="F701" s="3">
        <v>230</v>
      </c>
      <c r="G701" s="3">
        <v>690</v>
      </c>
      <c r="H701" s="3">
        <v>0.06</v>
      </c>
      <c r="I701" s="3">
        <v>41.4</v>
      </c>
      <c r="J701" s="3" t="s">
        <v>39</v>
      </c>
    </row>
    <row r="702" spans="1:10" x14ac:dyDescent="0.35">
      <c r="A702" s="3" t="s">
        <v>732</v>
      </c>
      <c r="B702" s="4">
        <v>43285</v>
      </c>
      <c r="C702" s="3" t="s">
        <v>11</v>
      </c>
      <c r="D702" s="3" t="s">
        <v>27</v>
      </c>
      <c r="E702" s="3">
        <v>16</v>
      </c>
      <c r="F702" s="3">
        <v>80</v>
      </c>
      <c r="G702" s="3">
        <v>1280</v>
      </c>
      <c r="H702" s="3">
        <v>7.0000000000000007E-2</v>
      </c>
      <c r="I702" s="3">
        <v>89.600000000000009</v>
      </c>
      <c r="J702" s="3" t="s">
        <v>32</v>
      </c>
    </row>
    <row r="703" spans="1:10" x14ac:dyDescent="0.35">
      <c r="A703" s="3" t="s">
        <v>733</v>
      </c>
      <c r="B703" s="4">
        <v>43286</v>
      </c>
      <c r="C703" s="3" t="s">
        <v>15</v>
      </c>
      <c r="D703" s="3" t="s">
        <v>31</v>
      </c>
      <c r="E703" s="3">
        <v>3</v>
      </c>
      <c r="F703" s="3">
        <v>40</v>
      </c>
      <c r="G703" s="3">
        <v>120</v>
      </c>
      <c r="H703" s="3">
        <v>0.03</v>
      </c>
      <c r="I703" s="3">
        <v>3.5999999999999996</v>
      </c>
      <c r="J703" s="3" t="s">
        <v>35</v>
      </c>
    </row>
    <row r="704" spans="1:10" x14ac:dyDescent="0.35">
      <c r="A704" s="3" t="s">
        <v>734</v>
      </c>
      <c r="B704" s="4">
        <v>43286</v>
      </c>
      <c r="C704" s="3" t="s">
        <v>19</v>
      </c>
      <c r="D704" s="3" t="s">
        <v>24</v>
      </c>
      <c r="E704" s="3">
        <v>12</v>
      </c>
      <c r="F704" s="3">
        <v>230</v>
      </c>
      <c r="G704" s="3">
        <v>2760</v>
      </c>
      <c r="H704" s="3">
        <v>0.03</v>
      </c>
      <c r="I704" s="3">
        <v>82.8</v>
      </c>
      <c r="J704" s="3" t="s">
        <v>37</v>
      </c>
    </row>
    <row r="705" spans="1:10" x14ac:dyDescent="0.35">
      <c r="A705" s="3" t="s">
        <v>735</v>
      </c>
      <c r="B705" s="4">
        <v>43286</v>
      </c>
      <c r="C705" s="3" t="s">
        <v>15</v>
      </c>
      <c r="D705" s="3" t="s">
        <v>27</v>
      </c>
      <c r="E705" s="3">
        <v>22</v>
      </c>
      <c r="F705" s="3">
        <v>40</v>
      </c>
      <c r="G705" s="3">
        <v>880</v>
      </c>
      <c r="H705" s="3">
        <v>0.01</v>
      </c>
      <c r="I705" s="3">
        <v>8.8000000000000007</v>
      </c>
      <c r="J705" s="3" t="s">
        <v>39</v>
      </c>
    </row>
    <row r="706" spans="1:10" x14ac:dyDescent="0.35">
      <c r="A706" s="3" t="s">
        <v>736</v>
      </c>
      <c r="B706" s="4">
        <v>43286</v>
      </c>
      <c r="C706" s="3" t="s">
        <v>15</v>
      </c>
      <c r="D706" s="3" t="s">
        <v>16</v>
      </c>
      <c r="E706" s="3">
        <v>19</v>
      </c>
      <c r="F706" s="3">
        <v>40</v>
      </c>
      <c r="G706" s="3">
        <v>760</v>
      </c>
      <c r="H706" s="3">
        <v>0.1</v>
      </c>
      <c r="I706" s="3">
        <v>76</v>
      </c>
      <c r="J706" s="3" t="s">
        <v>32</v>
      </c>
    </row>
    <row r="707" spans="1:10" x14ac:dyDescent="0.35">
      <c r="A707" s="3" t="s">
        <v>737</v>
      </c>
      <c r="B707" s="4">
        <v>43286</v>
      </c>
      <c r="C707" s="3" t="s">
        <v>11</v>
      </c>
      <c r="D707" s="3" t="s">
        <v>16</v>
      </c>
      <c r="E707" s="3">
        <v>21</v>
      </c>
      <c r="F707" s="3">
        <v>80</v>
      </c>
      <c r="G707" s="3">
        <v>1680</v>
      </c>
      <c r="H707" s="3">
        <v>0.04</v>
      </c>
      <c r="I707" s="3">
        <v>67.2</v>
      </c>
      <c r="J707" s="3" t="s">
        <v>35</v>
      </c>
    </row>
    <row r="708" spans="1:10" x14ac:dyDescent="0.35">
      <c r="A708" s="3" t="s">
        <v>738</v>
      </c>
      <c r="B708" s="4">
        <v>43286</v>
      </c>
      <c r="C708" s="3" t="s">
        <v>11</v>
      </c>
      <c r="D708" s="3" t="s">
        <v>16</v>
      </c>
      <c r="E708" s="3">
        <v>2</v>
      </c>
      <c r="F708" s="3">
        <v>80</v>
      </c>
      <c r="G708" s="3">
        <v>160</v>
      </c>
      <c r="H708" s="3">
        <v>0.04</v>
      </c>
      <c r="I708" s="3">
        <v>6.4</v>
      </c>
      <c r="J708" s="3" t="s">
        <v>37</v>
      </c>
    </row>
    <row r="709" spans="1:10" x14ac:dyDescent="0.35">
      <c r="A709" s="3" t="s">
        <v>739</v>
      </c>
      <c r="B709" s="4">
        <v>43286</v>
      </c>
      <c r="C709" s="3" t="s">
        <v>34</v>
      </c>
      <c r="D709" s="3" t="s">
        <v>16</v>
      </c>
      <c r="E709" s="3">
        <v>15</v>
      </c>
      <c r="F709" s="3">
        <v>150</v>
      </c>
      <c r="G709" s="3">
        <v>2250</v>
      </c>
      <c r="H709" s="3">
        <v>0.02</v>
      </c>
      <c r="I709" s="3">
        <v>45</v>
      </c>
      <c r="J709" s="3" t="s">
        <v>39</v>
      </c>
    </row>
    <row r="710" spans="1:10" x14ac:dyDescent="0.35">
      <c r="A710" s="3" t="s">
        <v>740</v>
      </c>
      <c r="B710" s="4">
        <v>43287</v>
      </c>
      <c r="C710" s="3" t="s">
        <v>15</v>
      </c>
      <c r="D710" s="3" t="s">
        <v>16</v>
      </c>
      <c r="E710" s="3">
        <v>14</v>
      </c>
      <c r="F710" s="3">
        <v>40</v>
      </c>
      <c r="G710" s="3">
        <v>560</v>
      </c>
      <c r="H710" s="3">
        <v>0.06</v>
      </c>
      <c r="I710" s="3">
        <v>33.6</v>
      </c>
      <c r="J710" s="3" t="s">
        <v>32</v>
      </c>
    </row>
    <row r="711" spans="1:10" x14ac:dyDescent="0.35">
      <c r="A711" s="3" t="s">
        <v>741</v>
      </c>
      <c r="B711" s="4">
        <v>43287</v>
      </c>
      <c r="C711" s="3" t="s">
        <v>11</v>
      </c>
      <c r="D711" s="3" t="s">
        <v>27</v>
      </c>
      <c r="E711" s="3">
        <v>7</v>
      </c>
      <c r="F711" s="3">
        <v>80</v>
      </c>
      <c r="G711" s="3">
        <v>560</v>
      </c>
      <c r="H711" s="3">
        <v>7.0000000000000007E-2</v>
      </c>
      <c r="I711" s="3">
        <v>39.200000000000003</v>
      </c>
      <c r="J711" s="3" t="s">
        <v>35</v>
      </c>
    </row>
    <row r="712" spans="1:10" x14ac:dyDescent="0.35">
      <c r="A712" s="3" t="s">
        <v>742</v>
      </c>
      <c r="B712" s="4">
        <v>43287</v>
      </c>
      <c r="C712" s="3" t="s">
        <v>11</v>
      </c>
      <c r="D712" s="3" t="s">
        <v>24</v>
      </c>
      <c r="E712" s="3">
        <v>7</v>
      </c>
      <c r="F712" s="3">
        <v>80</v>
      </c>
      <c r="G712" s="3">
        <v>560</v>
      </c>
      <c r="H712" s="3">
        <v>0.05</v>
      </c>
      <c r="I712" s="3">
        <v>28</v>
      </c>
      <c r="J712" s="3" t="s">
        <v>37</v>
      </c>
    </row>
    <row r="713" spans="1:10" x14ac:dyDescent="0.35">
      <c r="A713" s="3" t="s">
        <v>743</v>
      </c>
      <c r="B713" s="4">
        <v>43287</v>
      </c>
      <c r="C713" s="3" t="s">
        <v>34</v>
      </c>
      <c r="D713" s="3" t="s">
        <v>16</v>
      </c>
      <c r="E713" s="3">
        <v>10</v>
      </c>
      <c r="F713" s="3">
        <v>150</v>
      </c>
      <c r="G713" s="3">
        <v>1500</v>
      </c>
      <c r="H713" s="3">
        <v>0.01</v>
      </c>
      <c r="I713" s="3">
        <v>15</v>
      </c>
      <c r="J713" s="3" t="s">
        <v>39</v>
      </c>
    </row>
    <row r="714" spans="1:10" x14ac:dyDescent="0.35">
      <c r="A714" s="3" t="s">
        <v>744</v>
      </c>
      <c r="B714" s="4">
        <v>43287</v>
      </c>
      <c r="C714" s="3" t="s">
        <v>11</v>
      </c>
      <c r="D714" s="3" t="s">
        <v>24</v>
      </c>
      <c r="E714" s="3">
        <v>10</v>
      </c>
      <c r="F714" s="3">
        <v>80</v>
      </c>
      <c r="G714" s="3">
        <v>800</v>
      </c>
      <c r="H714" s="3">
        <v>0.08</v>
      </c>
      <c r="I714" s="3">
        <v>64</v>
      </c>
      <c r="J714" s="3" t="s">
        <v>32</v>
      </c>
    </row>
    <row r="715" spans="1:10" x14ac:dyDescent="0.35">
      <c r="A715" s="3" t="s">
        <v>745</v>
      </c>
      <c r="B715" s="4">
        <v>43287</v>
      </c>
      <c r="C715" s="3" t="s">
        <v>11</v>
      </c>
      <c r="D715" s="3" t="s">
        <v>27</v>
      </c>
      <c r="E715" s="3">
        <v>15</v>
      </c>
      <c r="F715" s="3">
        <v>80</v>
      </c>
      <c r="G715" s="3">
        <v>1200</v>
      </c>
      <c r="H715" s="3">
        <v>0.08</v>
      </c>
      <c r="I715" s="3">
        <v>96</v>
      </c>
      <c r="J715" s="3" t="s">
        <v>35</v>
      </c>
    </row>
    <row r="716" spans="1:10" x14ac:dyDescent="0.35">
      <c r="A716" s="3" t="s">
        <v>746</v>
      </c>
      <c r="B716" s="4">
        <v>43287</v>
      </c>
      <c r="C716" s="3" t="s">
        <v>19</v>
      </c>
      <c r="D716" s="3" t="s">
        <v>27</v>
      </c>
      <c r="E716" s="3">
        <v>18</v>
      </c>
      <c r="F716" s="3">
        <v>230</v>
      </c>
      <c r="G716" s="3">
        <v>4140</v>
      </c>
      <c r="H716" s="3">
        <v>0.01</v>
      </c>
      <c r="I716" s="3">
        <v>41.4</v>
      </c>
      <c r="J716" s="3" t="s">
        <v>37</v>
      </c>
    </row>
    <row r="717" spans="1:10" x14ac:dyDescent="0.35">
      <c r="A717" s="3" t="s">
        <v>747</v>
      </c>
      <c r="B717" s="4">
        <v>43287</v>
      </c>
      <c r="C717" s="3" t="s">
        <v>11</v>
      </c>
      <c r="D717" s="3" t="s">
        <v>12</v>
      </c>
      <c r="E717" s="3">
        <v>8</v>
      </c>
      <c r="F717" s="3">
        <v>80</v>
      </c>
      <c r="G717" s="3">
        <v>640</v>
      </c>
      <c r="H717" s="3">
        <v>0.09</v>
      </c>
      <c r="I717" s="3">
        <v>57.599999999999994</v>
      </c>
      <c r="J717" s="3" t="s">
        <v>39</v>
      </c>
    </row>
    <row r="718" spans="1:10" x14ac:dyDescent="0.35">
      <c r="A718" s="3" t="s">
        <v>748</v>
      </c>
      <c r="B718" s="4">
        <v>43287</v>
      </c>
      <c r="C718" s="3" t="s">
        <v>30</v>
      </c>
      <c r="D718" s="3" t="s">
        <v>24</v>
      </c>
      <c r="E718" s="3">
        <v>6</v>
      </c>
      <c r="F718" s="3">
        <v>16</v>
      </c>
      <c r="G718" s="3">
        <v>96</v>
      </c>
      <c r="H718" s="3">
        <v>0.01</v>
      </c>
      <c r="I718" s="3">
        <v>0.96</v>
      </c>
      <c r="J718" s="3" t="s">
        <v>32</v>
      </c>
    </row>
    <row r="719" spans="1:10" x14ac:dyDescent="0.35">
      <c r="A719" s="3" t="s">
        <v>749</v>
      </c>
      <c r="B719" s="4">
        <v>43287</v>
      </c>
      <c r="C719" s="3" t="s">
        <v>19</v>
      </c>
      <c r="D719" s="3" t="s">
        <v>16</v>
      </c>
      <c r="E719" s="3">
        <v>9</v>
      </c>
      <c r="F719" s="3">
        <v>230</v>
      </c>
      <c r="G719" s="3">
        <v>2070</v>
      </c>
      <c r="H719" s="3">
        <v>0.03</v>
      </c>
      <c r="I719" s="3">
        <v>62.099999999999994</v>
      </c>
      <c r="J719" s="3" t="s">
        <v>35</v>
      </c>
    </row>
    <row r="720" spans="1:10" x14ac:dyDescent="0.35">
      <c r="A720" s="3" t="s">
        <v>750</v>
      </c>
      <c r="B720" s="4">
        <v>43288</v>
      </c>
      <c r="C720" s="3" t="s">
        <v>15</v>
      </c>
      <c r="D720" s="3" t="s">
        <v>27</v>
      </c>
      <c r="E720" s="3">
        <v>15</v>
      </c>
      <c r="F720" s="3">
        <v>40</v>
      </c>
      <c r="G720" s="3">
        <v>600</v>
      </c>
      <c r="H720" s="3">
        <v>0.03</v>
      </c>
      <c r="I720" s="3">
        <v>18</v>
      </c>
      <c r="J720" s="3" t="s">
        <v>37</v>
      </c>
    </row>
    <row r="721" spans="1:10" x14ac:dyDescent="0.35">
      <c r="A721" s="3" t="s">
        <v>751</v>
      </c>
      <c r="B721" s="4">
        <v>43288</v>
      </c>
      <c r="C721" s="3" t="s">
        <v>15</v>
      </c>
      <c r="D721" s="3" t="s">
        <v>16</v>
      </c>
      <c r="E721" s="3">
        <v>15</v>
      </c>
      <c r="F721" s="3">
        <v>40</v>
      </c>
      <c r="G721" s="3">
        <v>600</v>
      </c>
      <c r="H721" s="3">
        <v>0.04</v>
      </c>
      <c r="I721" s="3">
        <v>24</v>
      </c>
      <c r="J721" s="3" t="s">
        <v>39</v>
      </c>
    </row>
    <row r="722" spans="1:10" x14ac:dyDescent="0.35">
      <c r="A722" s="3" t="s">
        <v>752</v>
      </c>
      <c r="B722" s="4">
        <v>43288</v>
      </c>
      <c r="C722" s="3" t="s">
        <v>30</v>
      </c>
      <c r="D722" s="3" t="s">
        <v>31</v>
      </c>
      <c r="E722" s="3">
        <v>11</v>
      </c>
      <c r="F722" s="3">
        <v>16</v>
      </c>
      <c r="G722" s="3">
        <v>176</v>
      </c>
      <c r="H722" s="3">
        <v>0.12</v>
      </c>
      <c r="I722" s="3">
        <v>21.119999999999997</v>
      </c>
      <c r="J722" s="3" t="s">
        <v>32</v>
      </c>
    </row>
    <row r="723" spans="1:10" x14ac:dyDescent="0.35">
      <c r="A723" s="3" t="s">
        <v>753</v>
      </c>
      <c r="B723" s="4">
        <v>43288</v>
      </c>
      <c r="C723" s="3" t="s">
        <v>30</v>
      </c>
      <c r="D723" s="3" t="s">
        <v>12</v>
      </c>
      <c r="E723" s="3">
        <v>12</v>
      </c>
      <c r="F723" s="3">
        <v>16</v>
      </c>
      <c r="G723" s="3">
        <v>192</v>
      </c>
      <c r="H723" s="3">
        <v>0.11</v>
      </c>
      <c r="I723" s="3">
        <v>21.12</v>
      </c>
      <c r="J723" s="3" t="s">
        <v>20</v>
      </c>
    </row>
    <row r="724" spans="1:10" x14ac:dyDescent="0.35">
      <c r="A724" s="3" t="s">
        <v>754</v>
      </c>
      <c r="B724" s="4">
        <v>43288</v>
      </c>
      <c r="C724" s="3" t="s">
        <v>30</v>
      </c>
      <c r="D724" s="3" t="s">
        <v>27</v>
      </c>
      <c r="E724" s="3">
        <v>18</v>
      </c>
      <c r="F724" s="3">
        <v>16</v>
      </c>
      <c r="G724" s="3">
        <v>288</v>
      </c>
      <c r="H724" s="3">
        <v>0.04</v>
      </c>
      <c r="I724" s="3">
        <v>11.52</v>
      </c>
      <c r="J724" s="3" t="s">
        <v>37</v>
      </c>
    </row>
    <row r="725" spans="1:10" x14ac:dyDescent="0.35">
      <c r="A725" s="3" t="s">
        <v>755</v>
      </c>
      <c r="B725" s="4">
        <v>43288</v>
      </c>
      <c r="C725" s="3" t="s">
        <v>15</v>
      </c>
      <c r="D725" s="3" t="s">
        <v>24</v>
      </c>
      <c r="E725" s="3">
        <v>20</v>
      </c>
      <c r="F725" s="3">
        <v>40</v>
      </c>
      <c r="G725" s="3">
        <v>800</v>
      </c>
      <c r="H725" s="3">
        <v>0.01</v>
      </c>
      <c r="I725" s="3">
        <v>8</v>
      </c>
      <c r="J725" s="3" t="s">
        <v>20</v>
      </c>
    </row>
    <row r="726" spans="1:10" x14ac:dyDescent="0.35">
      <c r="A726" s="3" t="s">
        <v>756</v>
      </c>
      <c r="B726" s="4">
        <v>43288</v>
      </c>
      <c r="C726" s="3" t="s">
        <v>34</v>
      </c>
      <c r="D726" s="3" t="s">
        <v>31</v>
      </c>
      <c r="E726" s="3">
        <v>7</v>
      </c>
      <c r="F726" s="3">
        <v>150</v>
      </c>
      <c r="G726" s="3">
        <v>1050</v>
      </c>
      <c r="H726" s="3">
        <v>0.03</v>
      </c>
      <c r="I726" s="3">
        <v>31.5</v>
      </c>
      <c r="J726" s="3" t="s">
        <v>37</v>
      </c>
    </row>
    <row r="727" spans="1:10" x14ac:dyDescent="0.35">
      <c r="A727" s="3" t="s">
        <v>757</v>
      </c>
      <c r="B727" s="4">
        <v>43288</v>
      </c>
      <c r="C727" s="3" t="s">
        <v>15</v>
      </c>
      <c r="D727" s="3" t="s">
        <v>27</v>
      </c>
      <c r="E727" s="3">
        <v>23</v>
      </c>
      <c r="F727" s="3">
        <v>40</v>
      </c>
      <c r="G727" s="3">
        <v>920</v>
      </c>
      <c r="H727" s="3">
        <v>0.06</v>
      </c>
      <c r="I727" s="3">
        <v>55.199999999999996</v>
      </c>
      <c r="J727" s="3" t="s">
        <v>20</v>
      </c>
    </row>
    <row r="728" spans="1:10" x14ac:dyDescent="0.35">
      <c r="A728" s="3" t="s">
        <v>758</v>
      </c>
      <c r="B728" s="4">
        <v>43288</v>
      </c>
      <c r="C728" s="3" t="s">
        <v>11</v>
      </c>
      <c r="D728" s="3" t="s">
        <v>12</v>
      </c>
      <c r="E728" s="3">
        <v>7</v>
      </c>
      <c r="F728" s="3">
        <v>80</v>
      </c>
      <c r="G728" s="3">
        <v>560</v>
      </c>
      <c r="H728" s="3">
        <v>0.02</v>
      </c>
      <c r="I728" s="3">
        <v>11.200000000000001</v>
      </c>
      <c r="J728" s="3" t="s">
        <v>37</v>
      </c>
    </row>
    <row r="729" spans="1:10" x14ac:dyDescent="0.35">
      <c r="A729" s="3" t="s">
        <v>759</v>
      </c>
      <c r="B729" s="4">
        <v>43288</v>
      </c>
      <c r="C729" s="3" t="s">
        <v>34</v>
      </c>
      <c r="D729" s="3" t="s">
        <v>16</v>
      </c>
      <c r="E729" s="3">
        <v>16</v>
      </c>
      <c r="F729" s="3">
        <v>150</v>
      </c>
      <c r="G729" s="3">
        <v>2400</v>
      </c>
      <c r="H729" s="3">
        <v>0.05</v>
      </c>
      <c r="I729" s="3">
        <v>120</v>
      </c>
      <c r="J729" s="3" t="s">
        <v>20</v>
      </c>
    </row>
    <row r="730" spans="1:10" x14ac:dyDescent="0.35">
      <c r="A730" s="3" t="s">
        <v>760</v>
      </c>
      <c r="B730" s="4">
        <v>43288</v>
      </c>
      <c r="C730" s="3" t="s">
        <v>19</v>
      </c>
      <c r="D730" s="3" t="s">
        <v>16</v>
      </c>
      <c r="E730" s="3">
        <v>6</v>
      </c>
      <c r="F730" s="3">
        <v>230</v>
      </c>
      <c r="G730" s="3">
        <v>1380</v>
      </c>
      <c r="H730" s="3">
        <v>0.1</v>
      </c>
      <c r="I730" s="3">
        <v>138</v>
      </c>
      <c r="J730" s="3" t="s">
        <v>37</v>
      </c>
    </row>
    <row r="731" spans="1:10" x14ac:dyDescent="0.35">
      <c r="A731" s="3" t="s">
        <v>761</v>
      </c>
      <c r="B731" s="4">
        <v>43289</v>
      </c>
      <c r="C731" s="3" t="s">
        <v>15</v>
      </c>
      <c r="D731" s="3" t="s">
        <v>31</v>
      </c>
      <c r="E731" s="3">
        <v>7</v>
      </c>
      <c r="F731" s="3">
        <v>40</v>
      </c>
      <c r="G731" s="3">
        <v>280</v>
      </c>
      <c r="H731" s="3">
        <v>0.12</v>
      </c>
      <c r="I731" s="3">
        <v>33.6</v>
      </c>
      <c r="J731" s="3" t="s">
        <v>20</v>
      </c>
    </row>
    <row r="732" spans="1:10" x14ac:dyDescent="0.35">
      <c r="A732" s="3" t="s">
        <v>762</v>
      </c>
      <c r="B732" s="4">
        <v>43289</v>
      </c>
      <c r="C732" s="3" t="s">
        <v>11</v>
      </c>
      <c r="D732" s="3" t="s">
        <v>24</v>
      </c>
      <c r="E732" s="3">
        <v>23</v>
      </c>
      <c r="F732" s="3">
        <v>80</v>
      </c>
      <c r="G732" s="3">
        <v>1840</v>
      </c>
      <c r="H732" s="3">
        <v>0.05</v>
      </c>
      <c r="I732" s="3">
        <v>92</v>
      </c>
      <c r="J732" s="3" t="s">
        <v>37</v>
      </c>
    </row>
    <row r="733" spans="1:10" x14ac:dyDescent="0.35">
      <c r="A733" s="3" t="s">
        <v>763</v>
      </c>
      <c r="B733" s="4">
        <v>43289</v>
      </c>
      <c r="C733" s="3" t="s">
        <v>11</v>
      </c>
      <c r="D733" s="3" t="s">
        <v>27</v>
      </c>
      <c r="E733" s="3">
        <v>16</v>
      </c>
      <c r="F733" s="3">
        <v>80</v>
      </c>
      <c r="G733" s="3">
        <v>1280</v>
      </c>
      <c r="H733" s="3">
        <v>0.1</v>
      </c>
      <c r="I733" s="3">
        <v>128</v>
      </c>
      <c r="J733" s="3" t="s">
        <v>20</v>
      </c>
    </row>
    <row r="734" spans="1:10" x14ac:dyDescent="0.35">
      <c r="A734" s="3" t="s">
        <v>764</v>
      </c>
      <c r="B734" s="4">
        <v>43289</v>
      </c>
      <c r="C734" s="3" t="s">
        <v>11</v>
      </c>
      <c r="D734" s="3" t="s">
        <v>12</v>
      </c>
      <c r="E734" s="3">
        <v>16</v>
      </c>
      <c r="F734" s="3">
        <v>80</v>
      </c>
      <c r="G734" s="3">
        <v>1280</v>
      </c>
      <c r="H734" s="3">
        <v>0.03</v>
      </c>
      <c r="I734" s="3">
        <v>38.4</v>
      </c>
      <c r="J734" s="3" t="s">
        <v>37</v>
      </c>
    </row>
    <row r="735" spans="1:10" x14ac:dyDescent="0.35">
      <c r="A735" s="3" t="s">
        <v>765</v>
      </c>
      <c r="B735" s="4">
        <v>43289</v>
      </c>
      <c r="C735" s="3" t="s">
        <v>11</v>
      </c>
      <c r="D735" s="3" t="s">
        <v>31</v>
      </c>
      <c r="E735" s="3">
        <v>22</v>
      </c>
      <c r="F735" s="3">
        <v>80</v>
      </c>
      <c r="G735" s="3">
        <v>1760</v>
      </c>
      <c r="H735" s="3">
        <v>0.09</v>
      </c>
      <c r="I735" s="3">
        <v>158.4</v>
      </c>
      <c r="J735" s="3" t="s">
        <v>20</v>
      </c>
    </row>
    <row r="736" spans="1:10" x14ac:dyDescent="0.35">
      <c r="A736" s="3" t="s">
        <v>766</v>
      </c>
      <c r="B736" s="4">
        <v>43289</v>
      </c>
      <c r="C736" s="3" t="s">
        <v>30</v>
      </c>
      <c r="D736" s="3" t="s">
        <v>12</v>
      </c>
      <c r="E736" s="3">
        <v>18</v>
      </c>
      <c r="F736" s="3">
        <v>16</v>
      </c>
      <c r="G736" s="3">
        <v>288</v>
      </c>
      <c r="H736" s="3">
        <v>0.05</v>
      </c>
      <c r="I736" s="3">
        <v>14.4</v>
      </c>
      <c r="J736" s="3" t="s">
        <v>37</v>
      </c>
    </row>
    <row r="737" spans="1:10" x14ac:dyDescent="0.35">
      <c r="A737" s="3" t="s">
        <v>767</v>
      </c>
      <c r="B737" s="4">
        <v>43289</v>
      </c>
      <c r="C737" s="3" t="s">
        <v>19</v>
      </c>
      <c r="D737" s="3" t="s">
        <v>31</v>
      </c>
      <c r="E737" s="3">
        <v>5</v>
      </c>
      <c r="F737" s="3">
        <v>230</v>
      </c>
      <c r="G737" s="3">
        <v>1150</v>
      </c>
      <c r="H737" s="3">
        <v>0.12</v>
      </c>
      <c r="I737" s="3">
        <v>138</v>
      </c>
      <c r="J737" s="3" t="s">
        <v>20</v>
      </c>
    </row>
    <row r="738" spans="1:10" x14ac:dyDescent="0.35">
      <c r="A738" s="3" t="s">
        <v>768</v>
      </c>
      <c r="B738" s="4">
        <v>43289</v>
      </c>
      <c r="C738" s="3" t="s">
        <v>34</v>
      </c>
      <c r="D738" s="3" t="s">
        <v>31</v>
      </c>
      <c r="E738" s="3">
        <v>7</v>
      </c>
      <c r="F738" s="3">
        <v>150</v>
      </c>
      <c r="G738" s="3">
        <v>1050</v>
      </c>
      <c r="H738" s="3">
        <v>0.02</v>
      </c>
      <c r="I738" s="3">
        <v>21</v>
      </c>
      <c r="J738" s="3" t="s">
        <v>37</v>
      </c>
    </row>
    <row r="739" spans="1:10" x14ac:dyDescent="0.35">
      <c r="A739" s="3" t="s">
        <v>769</v>
      </c>
      <c r="B739" s="4">
        <v>43289</v>
      </c>
      <c r="C739" s="3" t="s">
        <v>15</v>
      </c>
      <c r="D739" s="3" t="s">
        <v>24</v>
      </c>
      <c r="E739" s="3">
        <v>2</v>
      </c>
      <c r="F739" s="3">
        <v>40</v>
      </c>
      <c r="G739" s="3">
        <v>80</v>
      </c>
      <c r="H739" s="3">
        <v>0.03</v>
      </c>
      <c r="I739" s="3">
        <v>2.4</v>
      </c>
      <c r="J739" s="3" t="s">
        <v>20</v>
      </c>
    </row>
    <row r="740" spans="1:10" x14ac:dyDescent="0.35">
      <c r="A740" s="3" t="s">
        <v>770</v>
      </c>
      <c r="B740" s="4">
        <v>43289</v>
      </c>
      <c r="C740" s="3" t="s">
        <v>15</v>
      </c>
      <c r="D740" s="3" t="s">
        <v>27</v>
      </c>
      <c r="E740" s="3">
        <v>11</v>
      </c>
      <c r="F740" s="3">
        <v>40</v>
      </c>
      <c r="G740" s="3">
        <v>440</v>
      </c>
      <c r="H740" s="3">
        <v>0.06</v>
      </c>
      <c r="I740" s="3">
        <v>26.4</v>
      </c>
      <c r="J740" s="3" t="s">
        <v>37</v>
      </c>
    </row>
    <row r="741" spans="1:10" x14ac:dyDescent="0.35">
      <c r="A741" s="3" t="s">
        <v>771</v>
      </c>
      <c r="B741" s="4">
        <v>43289</v>
      </c>
      <c r="C741" s="3" t="s">
        <v>11</v>
      </c>
      <c r="D741" s="3" t="s">
        <v>27</v>
      </c>
      <c r="E741" s="3">
        <v>7</v>
      </c>
      <c r="F741" s="3">
        <v>80</v>
      </c>
      <c r="G741" s="3">
        <v>560</v>
      </c>
      <c r="H741" s="3">
        <v>0.02</v>
      </c>
      <c r="I741" s="3">
        <v>11.200000000000001</v>
      </c>
      <c r="J741" s="3" t="s">
        <v>20</v>
      </c>
    </row>
    <row r="742" spans="1:10" x14ac:dyDescent="0.35">
      <c r="A742" s="3" t="s">
        <v>772</v>
      </c>
      <c r="B742" s="4">
        <v>43290</v>
      </c>
      <c r="C742" s="3" t="s">
        <v>15</v>
      </c>
      <c r="D742" s="3" t="s">
        <v>24</v>
      </c>
      <c r="E742" s="3">
        <v>4</v>
      </c>
      <c r="F742" s="3">
        <v>40</v>
      </c>
      <c r="G742" s="3">
        <v>160</v>
      </c>
      <c r="H742" s="3">
        <v>0.11</v>
      </c>
      <c r="I742" s="3">
        <v>17.600000000000001</v>
      </c>
      <c r="J742" s="3" t="s">
        <v>37</v>
      </c>
    </row>
    <row r="743" spans="1:10" x14ac:dyDescent="0.35">
      <c r="A743" s="3" t="s">
        <v>773</v>
      </c>
      <c r="B743" s="4">
        <v>43290</v>
      </c>
      <c r="C743" s="3" t="s">
        <v>15</v>
      </c>
      <c r="D743" s="3" t="s">
        <v>24</v>
      </c>
      <c r="E743" s="3">
        <v>2</v>
      </c>
      <c r="F743" s="3">
        <v>40</v>
      </c>
      <c r="G743" s="3">
        <v>80</v>
      </c>
      <c r="H743" s="3">
        <v>0.02</v>
      </c>
      <c r="I743" s="3">
        <v>1.6</v>
      </c>
      <c r="J743" s="3" t="s">
        <v>20</v>
      </c>
    </row>
    <row r="744" spans="1:10" x14ac:dyDescent="0.35">
      <c r="A744" s="3" t="s">
        <v>774</v>
      </c>
      <c r="B744" s="4">
        <v>43290</v>
      </c>
      <c r="C744" s="3" t="s">
        <v>19</v>
      </c>
      <c r="D744" s="3" t="s">
        <v>27</v>
      </c>
      <c r="E744" s="3">
        <v>23</v>
      </c>
      <c r="F744" s="3">
        <v>230</v>
      </c>
      <c r="G744" s="3">
        <v>5290</v>
      </c>
      <c r="H744" s="3">
        <v>0.06</v>
      </c>
      <c r="I744" s="3">
        <v>317.39999999999998</v>
      </c>
      <c r="J744" s="3" t="s">
        <v>37</v>
      </c>
    </row>
    <row r="745" spans="1:10" x14ac:dyDescent="0.35">
      <c r="A745" s="3" t="s">
        <v>775</v>
      </c>
      <c r="B745" s="4">
        <v>43290</v>
      </c>
      <c r="C745" s="3" t="s">
        <v>11</v>
      </c>
      <c r="D745" s="3" t="s">
        <v>31</v>
      </c>
      <c r="E745" s="3">
        <v>21</v>
      </c>
      <c r="F745" s="3">
        <v>80</v>
      </c>
      <c r="G745" s="3">
        <v>1680</v>
      </c>
      <c r="H745" s="3">
        <v>0.09</v>
      </c>
      <c r="I745" s="3">
        <v>151.19999999999999</v>
      </c>
      <c r="J745" s="3" t="s">
        <v>20</v>
      </c>
    </row>
    <row r="746" spans="1:10" x14ac:dyDescent="0.35">
      <c r="A746" s="3" t="s">
        <v>776</v>
      </c>
      <c r="B746" s="4">
        <v>43290</v>
      </c>
      <c r="C746" s="3" t="s">
        <v>11</v>
      </c>
      <c r="D746" s="3" t="s">
        <v>31</v>
      </c>
      <c r="E746" s="3">
        <v>9</v>
      </c>
      <c r="F746" s="3">
        <v>80</v>
      </c>
      <c r="G746" s="3">
        <v>720</v>
      </c>
      <c r="H746" s="3">
        <v>0.06</v>
      </c>
      <c r="I746" s="3">
        <v>43.199999999999996</v>
      </c>
      <c r="J746" s="3" t="s">
        <v>37</v>
      </c>
    </row>
    <row r="747" spans="1:10" x14ac:dyDescent="0.35">
      <c r="A747" s="3" t="s">
        <v>777</v>
      </c>
      <c r="B747" s="4">
        <v>43290</v>
      </c>
      <c r="C747" s="3" t="s">
        <v>11</v>
      </c>
      <c r="D747" s="3" t="s">
        <v>31</v>
      </c>
      <c r="E747" s="3">
        <v>22</v>
      </c>
      <c r="F747" s="3">
        <v>80</v>
      </c>
      <c r="G747" s="3">
        <v>1760</v>
      </c>
      <c r="H747" s="3">
        <v>0.11</v>
      </c>
      <c r="I747" s="3">
        <v>193.6</v>
      </c>
      <c r="J747" s="3" t="s">
        <v>20</v>
      </c>
    </row>
    <row r="748" spans="1:10" x14ac:dyDescent="0.35">
      <c r="A748" s="3" t="s">
        <v>778</v>
      </c>
      <c r="B748" s="4">
        <v>43291</v>
      </c>
      <c r="C748" s="3" t="s">
        <v>19</v>
      </c>
      <c r="D748" s="3" t="s">
        <v>24</v>
      </c>
      <c r="E748" s="3">
        <v>15</v>
      </c>
      <c r="F748" s="3">
        <v>230</v>
      </c>
      <c r="G748" s="3">
        <v>3450</v>
      </c>
      <c r="H748" s="3">
        <v>0.11</v>
      </c>
      <c r="I748" s="3">
        <v>379.5</v>
      </c>
      <c r="J748" s="3" t="s">
        <v>37</v>
      </c>
    </row>
    <row r="749" spans="1:10" x14ac:dyDescent="0.35">
      <c r="A749" s="3" t="s">
        <v>779</v>
      </c>
      <c r="B749" s="4">
        <v>43291</v>
      </c>
      <c r="C749" s="3" t="s">
        <v>15</v>
      </c>
      <c r="D749" s="3" t="s">
        <v>16</v>
      </c>
      <c r="E749" s="3">
        <v>7</v>
      </c>
      <c r="F749" s="3">
        <v>40</v>
      </c>
      <c r="G749" s="3">
        <v>280</v>
      </c>
      <c r="H749" s="3">
        <v>0.01</v>
      </c>
      <c r="I749" s="3">
        <v>2.8000000000000003</v>
      </c>
      <c r="J749" s="3" t="s">
        <v>20</v>
      </c>
    </row>
    <row r="750" spans="1:10" x14ac:dyDescent="0.35">
      <c r="A750" s="3" t="s">
        <v>780</v>
      </c>
      <c r="B750" s="4">
        <v>43291</v>
      </c>
      <c r="C750" s="3" t="s">
        <v>34</v>
      </c>
      <c r="D750" s="3" t="s">
        <v>31</v>
      </c>
      <c r="E750" s="3">
        <v>17</v>
      </c>
      <c r="F750" s="3">
        <v>150</v>
      </c>
      <c r="G750" s="3">
        <v>2550</v>
      </c>
      <c r="H750" s="3">
        <v>0.02</v>
      </c>
      <c r="I750" s="3">
        <v>51</v>
      </c>
      <c r="J750" s="3" t="s">
        <v>37</v>
      </c>
    </row>
    <row r="751" spans="1:10" x14ac:dyDescent="0.35">
      <c r="A751" s="3" t="s">
        <v>781</v>
      </c>
      <c r="B751" s="4">
        <v>43291</v>
      </c>
      <c r="C751" s="3" t="s">
        <v>34</v>
      </c>
      <c r="D751" s="3" t="s">
        <v>16</v>
      </c>
      <c r="E751" s="3">
        <v>22</v>
      </c>
      <c r="F751" s="3">
        <v>150</v>
      </c>
      <c r="G751" s="3">
        <v>3300</v>
      </c>
      <c r="H751" s="3">
        <v>0.02</v>
      </c>
      <c r="I751" s="3">
        <v>66</v>
      </c>
      <c r="J751" s="3" t="s">
        <v>20</v>
      </c>
    </row>
    <row r="752" spans="1:10" x14ac:dyDescent="0.35">
      <c r="A752" s="3" t="s">
        <v>782</v>
      </c>
      <c r="B752" s="4">
        <v>43291</v>
      </c>
      <c r="C752" s="3" t="s">
        <v>19</v>
      </c>
      <c r="D752" s="3" t="s">
        <v>24</v>
      </c>
      <c r="E752" s="3">
        <v>10</v>
      </c>
      <c r="F752" s="3">
        <v>230</v>
      </c>
      <c r="G752" s="3">
        <v>2300</v>
      </c>
      <c r="H752" s="3">
        <v>0.02</v>
      </c>
      <c r="I752" s="3">
        <v>46</v>
      </c>
      <c r="J752" s="3" t="s">
        <v>37</v>
      </c>
    </row>
    <row r="753" spans="1:10" x14ac:dyDescent="0.35">
      <c r="A753" s="3" t="s">
        <v>783</v>
      </c>
      <c r="B753" s="4">
        <v>43291</v>
      </c>
      <c r="C753" s="3" t="s">
        <v>15</v>
      </c>
      <c r="D753" s="3" t="s">
        <v>31</v>
      </c>
      <c r="E753" s="3">
        <v>21</v>
      </c>
      <c r="F753" s="3">
        <v>40</v>
      </c>
      <c r="G753" s="3">
        <v>840</v>
      </c>
      <c r="H753" s="3">
        <v>0.01</v>
      </c>
      <c r="I753" s="3">
        <v>8.4</v>
      </c>
      <c r="J753" s="3" t="s">
        <v>20</v>
      </c>
    </row>
    <row r="754" spans="1:10" x14ac:dyDescent="0.35">
      <c r="A754" s="3" t="s">
        <v>784</v>
      </c>
      <c r="B754" s="4">
        <v>43291</v>
      </c>
      <c r="C754" s="3" t="s">
        <v>19</v>
      </c>
      <c r="D754" s="3" t="s">
        <v>24</v>
      </c>
      <c r="E754" s="3">
        <v>5</v>
      </c>
      <c r="F754" s="3">
        <v>230</v>
      </c>
      <c r="G754" s="3">
        <v>1150</v>
      </c>
      <c r="H754" s="3">
        <v>0.1</v>
      </c>
      <c r="I754" s="3">
        <v>115</v>
      </c>
      <c r="J754" s="3" t="s">
        <v>37</v>
      </c>
    </row>
    <row r="755" spans="1:10" x14ac:dyDescent="0.35">
      <c r="A755" s="3" t="s">
        <v>785</v>
      </c>
      <c r="B755" s="4">
        <v>43291</v>
      </c>
      <c r="C755" s="3" t="s">
        <v>19</v>
      </c>
      <c r="D755" s="3" t="s">
        <v>31</v>
      </c>
      <c r="E755" s="3">
        <v>13</v>
      </c>
      <c r="F755" s="3">
        <v>230</v>
      </c>
      <c r="G755" s="3">
        <v>2990</v>
      </c>
      <c r="H755" s="3">
        <v>0.06</v>
      </c>
      <c r="I755" s="3">
        <v>179.4</v>
      </c>
      <c r="J755" s="3" t="s">
        <v>20</v>
      </c>
    </row>
    <row r="756" spans="1:10" x14ac:dyDescent="0.35">
      <c r="A756" s="3" t="s">
        <v>786</v>
      </c>
      <c r="B756" s="4">
        <v>43291</v>
      </c>
      <c r="C756" s="3" t="s">
        <v>34</v>
      </c>
      <c r="D756" s="3" t="s">
        <v>12</v>
      </c>
      <c r="E756" s="3">
        <v>23</v>
      </c>
      <c r="F756" s="3">
        <v>150</v>
      </c>
      <c r="G756" s="3">
        <v>3450</v>
      </c>
      <c r="H756" s="3">
        <v>0.1</v>
      </c>
      <c r="I756" s="3">
        <v>345</v>
      </c>
      <c r="J756" s="3" t="s">
        <v>37</v>
      </c>
    </row>
    <row r="757" spans="1:10" x14ac:dyDescent="0.35">
      <c r="A757" s="3" t="s">
        <v>787</v>
      </c>
      <c r="B757" s="4">
        <v>43291</v>
      </c>
      <c r="C757" s="3" t="s">
        <v>34</v>
      </c>
      <c r="D757" s="3" t="s">
        <v>12</v>
      </c>
      <c r="E757" s="3">
        <v>20</v>
      </c>
      <c r="F757" s="3">
        <v>150</v>
      </c>
      <c r="G757" s="3">
        <v>3000</v>
      </c>
      <c r="H757" s="3">
        <v>0.03</v>
      </c>
      <c r="I757" s="3">
        <v>90</v>
      </c>
      <c r="J757" s="3" t="s">
        <v>20</v>
      </c>
    </row>
    <row r="758" spans="1:10" x14ac:dyDescent="0.35">
      <c r="A758" s="3" t="s">
        <v>788</v>
      </c>
      <c r="B758" s="4">
        <v>43292</v>
      </c>
      <c r="C758" s="3" t="s">
        <v>19</v>
      </c>
      <c r="D758" s="3" t="s">
        <v>12</v>
      </c>
      <c r="E758" s="3">
        <v>3</v>
      </c>
      <c r="F758" s="3">
        <v>230</v>
      </c>
      <c r="G758" s="3">
        <v>690</v>
      </c>
      <c r="H758" s="3">
        <v>0.11</v>
      </c>
      <c r="I758" s="3">
        <v>75.900000000000006</v>
      </c>
      <c r="J758" s="3" t="s">
        <v>37</v>
      </c>
    </row>
    <row r="759" spans="1:10" x14ac:dyDescent="0.35">
      <c r="A759" s="3" t="s">
        <v>789</v>
      </c>
      <c r="B759" s="4">
        <v>43292</v>
      </c>
      <c r="C759" s="3" t="s">
        <v>34</v>
      </c>
      <c r="D759" s="3" t="s">
        <v>16</v>
      </c>
      <c r="E759" s="3">
        <v>16</v>
      </c>
      <c r="F759" s="3">
        <v>150</v>
      </c>
      <c r="G759" s="3">
        <v>2400</v>
      </c>
      <c r="H759" s="3">
        <v>0.08</v>
      </c>
      <c r="I759" s="3">
        <v>192</v>
      </c>
      <c r="J759" s="3" t="s">
        <v>20</v>
      </c>
    </row>
    <row r="760" spans="1:10" x14ac:dyDescent="0.35">
      <c r="A760" s="3" t="s">
        <v>790</v>
      </c>
      <c r="B760" s="4">
        <v>43292</v>
      </c>
      <c r="C760" s="3" t="s">
        <v>30</v>
      </c>
      <c r="D760" s="3" t="s">
        <v>31</v>
      </c>
      <c r="E760" s="3">
        <v>14</v>
      </c>
      <c r="F760" s="3">
        <v>16</v>
      </c>
      <c r="G760" s="3">
        <v>224</v>
      </c>
      <c r="H760" s="3">
        <v>0.06</v>
      </c>
      <c r="I760" s="3">
        <v>13.44</v>
      </c>
      <c r="J760" s="3" t="s">
        <v>37</v>
      </c>
    </row>
    <row r="761" spans="1:10" x14ac:dyDescent="0.35">
      <c r="A761" s="3" t="s">
        <v>791</v>
      </c>
      <c r="B761" s="4">
        <v>43292</v>
      </c>
      <c r="C761" s="3" t="s">
        <v>34</v>
      </c>
      <c r="D761" s="3" t="s">
        <v>16</v>
      </c>
      <c r="E761" s="3">
        <v>16</v>
      </c>
      <c r="F761" s="3">
        <v>150</v>
      </c>
      <c r="G761" s="3">
        <v>2400</v>
      </c>
      <c r="H761" s="3">
        <v>0.03</v>
      </c>
      <c r="I761" s="3">
        <v>72</v>
      </c>
      <c r="J761" s="3" t="s">
        <v>20</v>
      </c>
    </row>
    <row r="762" spans="1:10" x14ac:dyDescent="0.35">
      <c r="A762" s="3" t="s">
        <v>792</v>
      </c>
      <c r="B762" s="4">
        <v>43292</v>
      </c>
      <c r="C762" s="3" t="s">
        <v>30</v>
      </c>
      <c r="D762" s="3" t="s">
        <v>31</v>
      </c>
      <c r="E762" s="3">
        <v>19</v>
      </c>
      <c r="F762" s="3">
        <v>16</v>
      </c>
      <c r="G762" s="3">
        <v>304</v>
      </c>
      <c r="H762" s="3">
        <v>0.02</v>
      </c>
      <c r="I762" s="3">
        <v>6.08</v>
      </c>
      <c r="J762" s="3" t="s">
        <v>37</v>
      </c>
    </row>
    <row r="763" spans="1:10" x14ac:dyDescent="0.35">
      <c r="A763" s="3" t="s">
        <v>793</v>
      </c>
      <c r="B763" s="4">
        <v>43292</v>
      </c>
      <c r="C763" s="3" t="s">
        <v>11</v>
      </c>
      <c r="D763" s="3" t="s">
        <v>31</v>
      </c>
      <c r="E763" s="3">
        <v>6</v>
      </c>
      <c r="F763" s="3">
        <v>80</v>
      </c>
      <c r="G763" s="3">
        <v>480</v>
      </c>
      <c r="H763" s="3">
        <v>0.09</v>
      </c>
      <c r="I763" s="3">
        <v>43.199999999999996</v>
      </c>
      <c r="J763" s="3" t="s">
        <v>20</v>
      </c>
    </row>
    <row r="764" spans="1:10" x14ac:dyDescent="0.35">
      <c r="A764" s="3" t="s">
        <v>794</v>
      </c>
      <c r="B764" s="4">
        <v>43292</v>
      </c>
      <c r="C764" s="3" t="s">
        <v>11</v>
      </c>
      <c r="D764" s="3" t="s">
        <v>31</v>
      </c>
      <c r="E764" s="3">
        <v>9</v>
      </c>
      <c r="F764" s="3">
        <v>80</v>
      </c>
      <c r="G764" s="3">
        <v>720</v>
      </c>
      <c r="H764" s="3">
        <v>7.0000000000000007E-2</v>
      </c>
      <c r="I764" s="3">
        <v>50.400000000000006</v>
      </c>
      <c r="J764" s="3" t="s">
        <v>37</v>
      </c>
    </row>
    <row r="765" spans="1:10" x14ac:dyDescent="0.35">
      <c r="A765" s="3" t="s">
        <v>795</v>
      </c>
      <c r="B765" s="4">
        <v>43292</v>
      </c>
      <c r="C765" s="3" t="s">
        <v>34</v>
      </c>
      <c r="D765" s="3" t="s">
        <v>16</v>
      </c>
      <c r="E765" s="3">
        <v>20</v>
      </c>
      <c r="F765" s="3">
        <v>150</v>
      </c>
      <c r="G765" s="3">
        <v>3000</v>
      </c>
      <c r="H765" s="3">
        <v>0.09</v>
      </c>
      <c r="I765" s="3">
        <v>270</v>
      </c>
      <c r="J765" s="3" t="s">
        <v>20</v>
      </c>
    </row>
    <row r="766" spans="1:10" x14ac:dyDescent="0.35">
      <c r="A766" s="3" t="s">
        <v>796</v>
      </c>
      <c r="B766" s="4">
        <v>43292</v>
      </c>
      <c r="C766" s="3" t="s">
        <v>11</v>
      </c>
      <c r="D766" s="3" t="s">
        <v>24</v>
      </c>
      <c r="E766" s="3">
        <v>10</v>
      </c>
      <c r="F766" s="3">
        <v>80</v>
      </c>
      <c r="G766" s="3">
        <v>800</v>
      </c>
      <c r="H766" s="3">
        <v>0.11</v>
      </c>
      <c r="I766" s="3">
        <v>88</v>
      </c>
      <c r="J766" s="3" t="s">
        <v>37</v>
      </c>
    </row>
    <row r="767" spans="1:10" x14ac:dyDescent="0.35">
      <c r="A767" s="3" t="s">
        <v>797</v>
      </c>
      <c r="B767" s="4">
        <v>43292</v>
      </c>
      <c r="C767" s="3" t="s">
        <v>30</v>
      </c>
      <c r="D767" s="3" t="s">
        <v>12</v>
      </c>
      <c r="E767" s="3">
        <v>4</v>
      </c>
      <c r="F767" s="3">
        <v>16</v>
      </c>
      <c r="G767" s="3">
        <v>64</v>
      </c>
      <c r="H767" s="3">
        <v>0.12</v>
      </c>
      <c r="I767" s="3">
        <v>7.68</v>
      </c>
      <c r="J767" s="3" t="s">
        <v>20</v>
      </c>
    </row>
    <row r="768" spans="1:10" x14ac:dyDescent="0.35">
      <c r="A768" s="3" t="s">
        <v>798</v>
      </c>
      <c r="B768" s="4">
        <v>43292</v>
      </c>
      <c r="C768" s="3" t="s">
        <v>15</v>
      </c>
      <c r="D768" s="3" t="s">
        <v>31</v>
      </c>
      <c r="E768" s="3">
        <v>16</v>
      </c>
      <c r="F768" s="3">
        <v>40</v>
      </c>
      <c r="G768" s="3">
        <v>640</v>
      </c>
      <c r="H768" s="3">
        <v>0.11</v>
      </c>
      <c r="I768" s="3">
        <v>70.400000000000006</v>
      </c>
      <c r="J768" s="3" t="s">
        <v>37</v>
      </c>
    </row>
    <row r="769" spans="1:10" x14ac:dyDescent="0.35">
      <c r="A769" s="3" t="s">
        <v>799</v>
      </c>
      <c r="B769" s="4">
        <v>43293</v>
      </c>
      <c r="C769" s="3" t="s">
        <v>11</v>
      </c>
      <c r="D769" s="3" t="s">
        <v>16</v>
      </c>
      <c r="E769" s="3">
        <v>5</v>
      </c>
      <c r="F769" s="3">
        <v>80</v>
      </c>
      <c r="G769" s="3">
        <v>400</v>
      </c>
      <c r="H769" s="3">
        <v>0.04</v>
      </c>
      <c r="I769" s="3">
        <v>16</v>
      </c>
      <c r="J769" s="3" t="s">
        <v>20</v>
      </c>
    </row>
    <row r="770" spans="1:10" x14ac:dyDescent="0.35">
      <c r="A770" s="3" t="s">
        <v>800</v>
      </c>
      <c r="B770" s="4">
        <v>43293</v>
      </c>
      <c r="C770" s="3" t="s">
        <v>30</v>
      </c>
      <c r="D770" s="3" t="s">
        <v>24</v>
      </c>
      <c r="E770" s="3">
        <v>11</v>
      </c>
      <c r="F770" s="3">
        <v>16</v>
      </c>
      <c r="G770" s="3">
        <v>176</v>
      </c>
      <c r="H770" s="3">
        <v>0.04</v>
      </c>
      <c r="I770" s="3">
        <v>7.04</v>
      </c>
      <c r="J770" s="3" t="s">
        <v>37</v>
      </c>
    </row>
    <row r="771" spans="1:10" x14ac:dyDescent="0.35">
      <c r="A771" s="3" t="s">
        <v>801</v>
      </c>
      <c r="B771" s="4">
        <v>43293</v>
      </c>
      <c r="C771" s="3" t="s">
        <v>34</v>
      </c>
      <c r="D771" s="3" t="s">
        <v>12</v>
      </c>
      <c r="E771" s="3">
        <v>17</v>
      </c>
      <c r="F771" s="3">
        <v>150</v>
      </c>
      <c r="G771" s="3">
        <v>2550</v>
      </c>
      <c r="H771" s="3">
        <v>0.12</v>
      </c>
      <c r="I771" s="3">
        <v>306</v>
      </c>
      <c r="J771" s="3" t="s">
        <v>20</v>
      </c>
    </row>
    <row r="772" spans="1:10" x14ac:dyDescent="0.35">
      <c r="A772" s="3" t="s">
        <v>802</v>
      </c>
      <c r="B772" s="4">
        <v>43293</v>
      </c>
      <c r="C772" s="3" t="s">
        <v>19</v>
      </c>
      <c r="D772" s="3" t="s">
        <v>16</v>
      </c>
      <c r="E772" s="3">
        <v>19</v>
      </c>
      <c r="F772" s="3">
        <v>230</v>
      </c>
      <c r="G772" s="3">
        <v>4370</v>
      </c>
      <c r="H772" s="3">
        <v>0.11</v>
      </c>
      <c r="I772" s="3">
        <v>480.7</v>
      </c>
      <c r="J772" s="3" t="s">
        <v>37</v>
      </c>
    </row>
    <row r="773" spans="1:10" x14ac:dyDescent="0.35">
      <c r="A773" s="3" t="s">
        <v>803</v>
      </c>
      <c r="B773" s="4">
        <v>43293</v>
      </c>
      <c r="C773" s="3" t="s">
        <v>11</v>
      </c>
      <c r="D773" s="3" t="s">
        <v>12</v>
      </c>
      <c r="E773" s="3">
        <v>21</v>
      </c>
      <c r="F773" s="3">
        <v>80</v>
      </c>
      <c r="G773" s="3">
        <v>1680</v>
      </c>
      <c r="H773" s="3">
        <v>0.04</v>
      </c>
      <c r="I773" s="3">
        <v>67.2</v>
      </c>
      <c r="J773" s="3" t="s">
        <v>20</v>
      </c>
    </row>
    <row r="774" spans="1:10" x14ac:dyDescent="0.35">
      <c r="A774" s="3" t="s">
        <v>804</v>
      </c>
      <c r="B774" s="4">
        <v>43293</v>
      </c>
      <c r="C774" s="3" t="s">
        <v>19</v>
      </c>
      <c r="D774" s="3" t="s">
        <v>16</v>
      </c>
      <c r="E774" s="3">
        <v>7</v>
      </c>
      <c r="F774" s="3">
        <v>230</v>
      </c>
      <c r="G774" s="3">
        <v>1610</v>
      </c>
      <c r="H774" s="3">
        <v>0.01</v>
      </c>
      <c r="I774" s="3">
        <v>16.100000000000001</v>
      </c>
      <c r="J774" s="3" t="s">
        <v>37</v>
      </c>
    </row>
    <row r="775" spans="1:10" x14ac:dyDescent="0.35">
      <c r="A775" s="3" t="s">
        <v>805</v>
      </c>
      <c r="B775" s="4">
        <v>43293</v>
      </c>
      <c r="C775" s="3" t="s">
        <v>15</v>
      </c>
      <c r="D775" s="3" t="s">
        <v>24</v>
      </c>
      <c r="E775" s="3">
        <v>2</v>
      </c>
      <c r="F775" s="3">
        <v>40</v>
      </c>
      <c r="G775" s="3">
        <v>80</v>
      </c>
      <c r="H775" s="3">
        <v>0.03</v>
      </c>
      <c r="I775" s="3">
        <v>2.4</v>
      </c>
      <c r="J775" s="3" t="s">
        <v>20</v>
      </c>
    </row>
    <row r="776" spans="1:10" x14ac:dyDescent="0.35">
      <c r="A776" s="3" t="s">
        <v>806</v>
      </c>
      <c r="B776" s="4">
        <v>43293</v>
      </c>
      <c r="C776" s="3" t="s">
        <v>34</v>
      </c>
      <c r="D776" s="3" t="s">
        <v>12</v>
      </c>
      <c r="E776" s="3">
        <v>7</v>
      </c>
      <c r="F776" s="3">
        <v>150</v>
      </c>
      <c r="G776" s="3">
        <v>1050</v>
      </c>
      <c r="H776" s="3">
        <v>0.02</v>
      </c>
      <c r="I776" s="3">
        <v>21</v>
      </c>
      <c r="J776" s="3" t="s">
        <v>37</v>
      </c>
    </row>
    <row r="777" spans="1:10" x14ac:dyDescent="0.35">
      <c r="A777" s="3" t="s">
        <v>807</v>
      </c>
      <c r="B777" s="4">
        <v>43294</v>
      </c>
      <c r="C777" s="3" t="s">
        <v>11</v>
      </c>
      <c r="D777" s="3" t="s">
        <v>24</v>
      </c>
      <c r="E777" s="3">
        <v>16</v>
      </c>
      <c r="F777" s="3">
        <v>80</v>
      </c>
      <c r="G777" s="3">
        <v>1280</v>
      </c>
      <c r="H777" s="3">
        <v>0.04</v>
      </c>
      <c r="I777" s="3">
        <v>51.2</v>
      </c>
      <c r="J777" s="3" t="s">
        <v>20</v>
      </c>
    </row>
    <row r="778" spans="1:10" x14ac:dyDescent="0.35">
      <c r="A778" s="3" t="s">
        <v>808</v>
      </c>
      <c r="B778" s="4">
        <v>43294</v>
      </c>
      <c r="C778" s="3" t="s">
        <v>15</v>
      </c>
      <c r="D778" s="3" t="s">
        <v>16</v>
      </c>
      <c r="E778" s="3">
        <v>4</v>
      </c>
      <c r="F778" s="3">
        <v>40</v>
      </c>
      <c r="G778" s="3">
        <v>160</v>
      </c>
      <c r="H778" s="3">
        <v>0.12</v>
      </c>
      <c r="I778" s="3">
        <v>19.2</v>
      </c>
      <c r="J778" s="3" t="s">
        <v>37</v>
      </c>
    </row>
    <row r="779" spans="1:10" x14ac:dyDescent="0.35">
      <c r="A779" s="3" t="s">
        <v>809</v>
      </c>
      <c r="B779" s="4">
        <v>43294</v>
      </c>
      <c r="C779" s="3" t="s">
        <v>30</v>
      </c>
      <c r="D779" s="3" t="s">
        <v>12</v>
      </c>
      <c r="E779" s="3">
        <v>22</v>
      </c>
      <c r="F779" s="3">
        <v>16</v>
      </c>
      <c r="G779" s="3">
        <v>352</v>
      </c>
      <c r="H779" s="3">
        <v>0.01</v>
      </c>
      <c r="I779" s="3">
        <v>3.52</v>
      </c>
      <c r="J779" s="3" t="s">
        <v>20</v>
      </c>
    </row>
    <row r="780" spans="1:10" x14ac:dyDescent="0.35">
      <c r="A780" s="3" t="s">
        <v>810</v>
      </c>
      <c r="B780" s="4">
        <v>43294</v>
      </c>
      <c r="C780" s="3" t="s">
        <v>15</v>
      </c>
      <c r="D780" s="3" t="s">
        <v>27</v>
      </c>
      <c r="E780" s="3">
        <v>18</v>
      </c>
      <c r="F780" s="3">
        <v>40</v>
      </c>
      <c r="G780" s="3">
        <v>720</v>
      </c>
      <c r="H780" s="3">
        <v>0.06</v>
      </c>
      <c r="I780" s="3">
        <v>43.199999999999996</v>
      </c>
      <c r="J780" s="3" t="s">
        <v>37</v>
      </c>
    </row>
    <row r="781" spans="1:10" x14ac:dyDescent="0.35">
      <c r="A781" s="3" t="s">
        <v>811</v>
      </c>
      <c r="B781" s="4">
        <v>43294</v>
      </c>
      <c r="C781" s="3" t="s">
        <v>11</v>
      </c>
      <c r="D781" s="3" t="s">
        <v>24</v>
      </c>
      <c r="E781" s="3">
        <v>6</v>
      </c>
      <c r="F781" s="3">
        <v>80</v>
      </c>
      <c r="G781" s="3">
        <v>480</v>
      </c>
      <c r="H781" s="3">
        <v>0.01</v>
      </c>
      <c r="I781" s="3">
        <v>4.8</v>
      </c>
      <c r="J781" s="3" t="s">
        <v>20</v>
      </c>
    </row>
    <row r="782" spans="1:10" x14ac:dyDescent="0.35">
      <c r="A782" s="3" t="s">
        <v>812</v>
      </c>
      <c r="B782" s="4">
        <v>43294</v>
      </c>
      <c r="C782" s="3" t="s">
        <v>19</v>
      </c>
      <c r="D782" s="3" t="s">
        <v>24</v>
      </c>
      <c r="E782" s="3">
        <v>2</v>
      </c>
      <c r="F782" s="3">
        <v>230</v>
      </c>
      <c r="G782" s="3">
        <v>460</v>
      </c>
      <c r="H782" s="3">
        <v>0.09</v>
      </c>
      <c r="I782" s="3">
        <v>41.4</v>
      </c>
      <c r="J782" s="3" t="s">
        <v>37</v>
      </c>
    </row>
    <row r="783" spans="1:10" x14ac:dyDescent="0.35">
      <c r="A783" s="3" t="s">
        <v>813</v>
      </c>
      <c r="B783" s="4">
        <v>43295</v>
      </c>
      <c r="C783" s="3" t="s">
        <v>34</v>
      </c>
      <c r="D783" s="3" t="s">
        <v>31</v>
      </c>
      <c r="E783" s="3">
        <v>11</v>
      </c>
      <c r="F783" s="3">
        <v>150</v>
      </c>
      <c r="G783" s="3">
        <v>1650</v>
      </c>
      <c r="H783" s="3">
        <v>0.09</v>
      </c>
      <c r="I783" s="3">
        <v>148.5</v>
      </c>
      <c r="J783" s="3" t="s">
        <v>20</v>
      </c>
    </row>
    <row r="784" spans="1:10" x14ac:dyDescent="0.35">
      <c r="A784" s="3" t="s">
        <v>814</v>
      </c>
      <c r="B784" s="4">
        <v>43295</v>
      </c>
      <c r="C784" s="3" t="s">
        <v>34</v>
      </c>
      <c r="D784" s="3" t="s">
        <v>27</v>
      </c>
      <c r="E784" s="3">
        <v>15</v>
      </c>
      <c r="F784" s="3">
        <v>150</v>
      </c>
      <c r="G784" s="3">
        <v>2250</v>
      </c>
      <c r="H784" s="3">
        <v>0.08</v>
      </c>
      <c r="I784" s="3">
        <v>180</v>
      </c>
      <c r="J784" s="3" t="s">
        <v>37</v>
      </c>
    </row>
    <row r="785" spans="1:10" x14ac:dyDescent="0.35">
      <c r="A785" s="3" t="s">
        <v>815</v>
      </c>
      <c r="B785" s="4">
        <v>43295</v>
      </c>
      <c r="C785" s="3" t="s">
        <v>11</v>
      </c>
      <c r="D785" s="3" t="s">
        <v>12</v>
      </c>
      <c r="E785" s="3">
        <v>17</v>
      </c>
      <c r="F785" s="3">
        <v>80</v>
      </c>
      <c r="G785" s="3">
        <v>1360</v>
      </c>
      <c r="H785" s="3">
        <v>0.09</v>
      </c>
      <c r="I785" s="3">
        <v>122.39999999999999</v>
      </c>
      <c r="J785" s="3" t="s">
        <v>20</v>
      </c>
    </row>
    <row r="786" spans="1:10" x14ac:dyDescent="0.35">
      <c r="A786" s="3" t="s">
        <v>816</v>
      </c>
      <c r="B786" s="4">
        <v>43295</v>
      </c>
      <c r="C786" s="3" t="s">
        <v>34</v>
      </c>
      <c r="D786" s="3" t="s">
        <v>31</v>
      </c>
      <c r="E786" s="3">
        <v>13</v>
      </c>
      <c r="F786" s="3">
        <v>150</v>
      </c>
      <c r="G786" s="3">
        <v>1950</v>
      </c>
      <c r="H786" s="3">
        <v>0.11</v>
      </c>
      <c r="I786" s="3">
        <v>214.5</v>
      </c>
      <c r="J786" s="3" t="s">
        <v>37</v>
      </c>
    </row>
    <row r="787" spans="1:10" x14ac:dyDescent="0.35">
      <c r="A787" s="3" t="s">
        <v>817</v>
      </c>
      <c r="B787" s="4">
        <v>43295</v>
      </c>
      <c r="C787" s="3" t="s">
        <v>15</v>
      </c>
      <c r="D787" s="3" t="s">
        <v>27</v>
      </c>
      <c r="E787" s="3">
        <v>7</v>
      </c>
      <c r="F787" s="3">
        <v>40</v>
      </c>
      <c r="G787" s="3">
        <v>280</v>
      </c>
      <c r="H787" s="3">
        <v>7.0000000000000007E-2</v>
      </c>
      <c r="I787" s="3">
        <v>19.600000000000001</v>
      </c>
      <c r="J787" s="3" t="s">
        <v>20</v>
      </c>
    </row>
    <row r="788" spans="1:10" x14ac:dyDescent="0.35">
      <c r="A788" s="3" t="s">
        <v>818</v>
      </c>
      <c r="B788" s="4">
        <v>43295</v>
      </c>
      <c r="C788" s="3" t="s">
        <v>19</v>
      </c>
      <c r="D788" s="3" t="s">
        <v>27</v>
      </c>
      <c r="E788" s="3">
        <v>3</v>
      </c>
      <c r="F788" s="3">
        <v>230</v>
      </c>
      <c r="G788" s="3">
        <v>690</v>
      </c>
      <c r="H788" s="3">
        <v>0.01</v>
      </c>
      <c r="I788" s="3">
        <v>6.9</v>
      </c>
      <c r="J788" s="3" t="s">
        <v>37</v>
      </c>
    </row>
    <row r="789" spans="1:10" x14ac:dyDescent="0.35">
      <c r="A789" s="3" t="s">
        <v>819</v>
      </c>
      <c r="B789" s="4">
        <v>43295</v>
      </c>
      <c r="C789" s="3" t="s">
        <v>15</v>
      </c>
      <c r="D789" s="3" t="s">
        <v>24</v>
      </c>
      <c r="E789" s="3">
        <v>12</v>
      </c>
      <c r="F789" s="3">
        <v>40</v>
      </c>
      <c r="G789" s="3">
        <v>480</v>
      </c>
      <c r="H789" s="3">
        <v>0.02</v>
      </c>
      <c r="I789" s="3">
        <v>9.6</v>
      </c>
      <c r="J789" s="3" t="s">
        <v>20</v>
      </c>
    </row>
    <row r="790" spans="1:10" x14ac:dyDescent="0.35">
      <c r="A790" s="3" t="s">
        <v>820</v>
      </c>
      <c r="B790" s="4">
        <v>43295</v>
      </c>
      <c r="C790" s="3" t="s">
        <v>34</v>
      </c>
      <c r="D790" s="3" t="s">
        <v>24</v>
      </c>
      <c r="E790" s="3">
        <v>11</v>
      </c>
      <c r="F790" s="3">
        <v>150</v>
      </c>
      <c r="G790" s="3">
        <v>1650</v>
      </c>
      <c r="H790" s="3">
        <v>0.11</v>
      </c>
      <c r="I790" s="3">
        <v>181.5</v>
      </c>
      <c r="J790" s="3" t="s">
        <v>37</v>
      </c>
    </row>
    <row r="791" spans="1:10" x14ac:dyDescent="0.35">
      <c r="A791" s="3" t="s">
        <v>821</v>
      </c>
      <c r="B791" s="4">
        <v>43295</v>
      </c>
      <c r="C791" s="3" t="s">
        <v>15</v>
      </c>
      <c r="D791" s="3" t="s">
        <v>16</v>
      </c>
      <c r="E791" s="3">
        <v>21</v>
      </c>
      <c r="F791" s="3">
        <v>40</v>
      </c>
      <c r="G791" s="3">
        <v>840</v>
      </c>
      <c r="H791" s="3">
        <v>0.03</v>
      </c>
      <c r="I791" s="3">
        <v>25.2</v>
      </c>
      <c r="J791" s="3" t="s">
        <v>20</v>
      </c>
    </row>
    <row r="792" spans="1:10" x14ac:dyDescent="0.35">
      <c r="A792" s="3" t="s">
        <v>822</v>
      </c>
      <c r="B792" s="4">
        <v>43295</v>
      </c>
      <c r="C792" s="3" t="s">
        <v>34</v>
      </c>
      <c r="D792" s="3" t="s">
        <v>12</v>
      </c>
      <c r="E792" s="3">
        <v>22</v>
      </c>
      <c r="F792" s="3">
        <v>150</v>
      </c>
      <c r="G792" s="3">
        <v>3300</v>
      </c>
      <c r="H792" s="3">
        <v>7.0000000000000007E-2</v>
      </c>
      <c r="I792" s="3">
        <v>231.00000000000003</v>
      </c>
      <c r="J792" s="3" t="s">
        <v>37</v>
      </c>
    </row>
    <row r="793" spans="1:10" x14ac:dyDescent="0.35">
      <c r="A793" s="3" t="s">
        <v>823</v>
      </c>
      <c r="B793" s="4">
        <v>43295</v>
      </c>
      <c r="C793" s="3" t="s">
        <v>15</v>
      </c>
      <c r="D793" s="3" t="s">
        <v>24</v>
      </c>
      <c r="E793" s="3">
        <v>20</v>
      </c>
      <c r="F793" s="3">
        <v>40</v>
      </c>
      <c r="G793" s="3">
        <v>800</v>
      </c>
      <c r="H793" s="3">
        <v>0.01</v>
      </c>
      <c r="I793" s="3">
        <v>8</v>
      </c>
      <c r="J793" s="3" t="s">
        <v>20</v>
      </c>
    </row>
    <row r="794" spans="1:10" x14ac:dyDescent="0.35">
      <c r="A794" s="3" t="s">
        <v>824</v>
      </c>
      <c r="B794" s="4">
        <v>43296</v>
      </c>
      <c r="C794" s="3" t="s">
        <v>30</v>
      </c>
      <c r="D794" s="3" t="s">
        <v>31</v>
      </c>
      <c r="E794" s="3">
        <v>22</v>
      </c>
      <c r="F794" s="3">
        <v>16</v>
      </c>
      <c r="G794" s="3">
        <v>352</v>
      </c>
      <c r="H794" s="3">
        <v>0.12</v>
      </c>
      <c r="I794" s="3">
        <v>42.239999999999995</v>
      </c>
      <c r="J794" s="3" t="s">
        <v>37</v>
      </c>
    </row>
    <row r="795" spans="1:10" x14ac:dyDescent="0.35">
      <c r="A795" s="3" t="s">
        <v>825</v>
      </c>
      <c r="B795" s="4">
        <v>43296</v>
      </c>
      <c r="C795" s="3" t="s">
        <v>15</v>
      </c>
      <c r="D795" s="3" t="s">
        <v>24</v>
      </c>
      <c r="E795" s="3">
        <v>4</v>
      </c>
      <c r="F795" s="3">
        <v>40</v>
      </c>
      <c r="G795" s="3">
        <v>160</v>
      </c>
      <c r="H795" s="3">
        <v>0.1</v>
      </c>
      <c r="I795" s="3">
        <v>16</v>
      </c>
      <c r="J795" s="3" t="s">
        <v>20</v>
      </c>
    </row>
    <row r="796" spans="1:10" x14ac:dyDescent="0.35">
      <c r="A796" s="3" t="s">
        <v>826</v>
      </c>
      <c r="B796" s="4">
        <v>43296</v>
      </c>
      <c r="C796" s="3" t="s">
        <v>19</v>
      </c>
      <c r="D796" s="3" t="s">
        <v>27</v>
      </c>
      <c r="E796" s="3">
        <v>2</v>
      </c>
      <c r="F796" s="3">
        <v>230</v>
      </c>
      <c r="G796" s="3">
        <v>460</v>
      </c>
      <c r="H796" s="3">
        <v>0.09</v>
      </c>
      <c r="I796" s="3">
        <v>41.4</v>
      </c>
      <c r="J796" s="3" t="s">
        <v>37</v>
      </c>
    </row>
    <row r="797" spans="1:10" x14ac:dyDescent="0.35">
      <c r="A797" s="3" t="s">
        <v>827</v>
      </c>
      <c r="B797" s="4">
        <v>43296</v>
      </c>
      <c r="C797" s="3" t="s">
        <v>15</v>
      </c>
      <c r="D797" s="3" t="s">
        <v>12</v>
      </c>
      <c r="E797" s="3">
        <v>22</v>
      </c>
      <c r="F797" s="3">
        <v>40</v>
      </c>
      <c r="G797" s="3">
        <v>880</v>
      </c>
      <c r="H797" s="3">
        <v>0.02</v>
      </c>
      <c r="I797" s="3">
        <v>17.600000000000001</v>
      </c>
      <c r="J797" s="3" t="s">
        <v>20</v>
      </c>
    </row>
    <row r="798" spans="1:10" x14ac:dyDescent="0.35">
      <c r="A798" s="3" t="s">
        <v>828</v>
      </c>
      <c r="B798" s="4">
        <v>43296</v>
      </c>
      <c r="C798" s="3" t="s">
        <v>15</v>
      </c>
      <c r="D798" s="3" t="s">
        <v>16</v>
      </c>
      <c r="E798" s="3">
        <v>4</v>
      </c>
      <c r="F798" s="3">
        <v>40</v>
      </c>
      <c r="G798" s="3">
        <v>160</v>
      </c>
      <c r="H798" s="3">
        <v>0.03</v>
      </c>
      <c r="I798" s="3">
        <v>4.8</v>
      </c>
      <c r="J798" s="3" t="s">
        <v>37</v>
      </c>
    </row>
    <row r="799" spans="1:10" x14ac:dyDescent="0.35">
      <c r="A799" s="3" t="s">
        <v>829</v>
      </c>
      <c r="B799" s="4">
        <v>43296</v>
      </c>
      <c r="C799" s="3" t="s">
        <v>30</v>
      </c>
      <c r="D799" s="3" t="s">
        <v>16</v>
      </c>
      <c r="E799" s="3">
        <v>5</v>
      </c>
      <c r="F799" s="3">
        <v>16</v>
      </c>
      <c r="G799" s="3">
        <v>80</v>
      </c>
      <c r="H799" s="3">
        <v>0.11</v>
      </c>
      <c r="I799" s="3">
        <v>8.8000000000000007</v>
      </c>
      <c r="J799" s="3" t="s">
        <v>20</v>
      </c>
    </row>
    <row r="800" spans="1:10" x14ac:dyDescent="0.35">
      <c r="A800" s="3" t="s">
        <v>830</v>
      </c>
      <c r="B800" s="4">
        <v>43296</v>
      </c>
      <c r="C800" s="3" t="s">
        <v>11</v>
      </c>
      <c r="D800" s="3" t="s">
        <v>27</v>
      </c>
      <c r="E800" s="3">
        <v>2</v>
      </c>
      <c r="F800" s="3">
        <v>80</v>
      </c>
      <c r="G800" s="3">
        <v>160</v>
      </c>
      <c r="H800" s="3">
        <v>0.08</v>
      </c>
      <c r="I800" s="3">
        <v>12.8</v>
      </c>
      <c r="J800" s="3" t="s">
        <v>37</v>
      </c>
    </row>
    <row r="801" spans="1:10" x14ac:dyDescent="0.35">
      <c r="A801" s="3" t="s">
        <v>831</v>
      </c>
      <c r="B801" s="4">
        <v>43296</v>
      </c>
      <c r="C801" s="3" t="s">
        <v>30</v>
      </c>
      <c r="D801" s="3" t="s">
        <v>24</v>
      </c>
      <c r="E801" s="3">
        <v>9</v>
      </c>
      <c r="F801" s="3">
        <v>16</v>
      </c>
      <c r="G801" s="3">
        <v>144</v>
      </c>
      <c r="H801" s="3">
        <v>0.05</v>
      </c>
      <c r="I801" s="3">
        <v>7.2</v>
      </c>
      <c r="J801" s="3" t="s">
        <v>20</v>
      </c>
    </row>
    <row r="802" spans="1:10" x14ac:dyDescent="0.35">
      <c r="A802" s="3" t="s">
        <v>832</v>
      </c>
      <c r="B802" s="4">
        <v>43296</v>
      </c>
      <c r="C802" s="3" t="s">
        <v>19</v>
      </c>
      <c r="D802" s="3" t="s">
        <v>24</v>
      </c>
      <c r="E802" s="3">
        <v>6</v>
      </c>
      <c r="F802" s="3">
        <v>230</v>
      </c>
      <c r="G802" s="3">
        <v>1380</v>
      </c>
      <c r="H802" s="3">
        <v>0.05</v>
      </c>
      <c r="I802" s="3">
        <v>69</v>
      </c>
      <c r="J802" s="3" t="s">
        <v>37</v>
      </c>
    </row>
    <row r="803" spans="1:10" x14ac:dyDescent="0.35">
      <c r="A803" s="3" t="s">
        <v>833</v>
      </c>
      <c r="B803" s="4">
        <v>43296</v>
      </c>
      <c r="C803" s="3" t="s">
        <v>34</v>
      </c>
      <c r="D803" s="3" t="s">
        <v>27</v>
      </c>
      <c r="E803" s="3">
        <v>22</v>
      </c>
      <c r="F803" s="3">
        <v>150</v>
      </c>
      <c r="G803" s="3">
        <v>3300</v>
      </c>
      <c r="H803" s="3">
        <v>0.05</v>
      </c>
      <c r="I803" s="3">
        <v>165</v>
      </c>
      <c r="J803" s="3" t="s">
        <v>20</v>
      </c>
    </row>
    <row r="804" spans="1:10" x14ac:dyDescent="0.35">
      <c r="A804" s="3" t="s">
        <v>834</v>
      </c>
      <c r="B804" s="4">
        <v>43297</v>
      </c>
      <c r="C804" s="3" t="s">
        <v>19</v>
      </c>
      <c r="D804" s="3" t="s">
        <v>27</v>
      </c>
      <c r="E804" s="3">
        <v>8</v>
      </c>
      <c r="F804" s="3">
        <v>230</v>
      </c>
      <c r="G804" s="3">
        <v>1840</v>
      </c>
      <c r="H804" s="3">
        <v>0.01</v>
      </c>
      <c r="I804" s="3">
        <v>18.400000000000002</v>
      </c>
      <c r="J804" s="3" t="s">
        <v>37</v>
      </c>
    </row>
    <row r="805" spans="1:10" x14ac:dyDescent="0.35">
      <c r="A805" s="3" t="s">
        <v>835</v>
      </c>
      <c r="B805" s="4">
        <v>43297</v>
      </c>
      <c r="C805" s="3" t="s">
        <v>34</v>
      </c>
      <c r="D805" s="3" t="s">
        <v>12</v>
      </c>
      <c r="E805" s="3">
        <v>22</v>
      </c>
      <c r="F805" s="3">
        <v>150</v>
      </c>
      <c r="G805" s="3">
        <v>3300</v>
      </c>
      <c r="H805" s="3">
        <v>0.05</v>
      </c>
      <c r="I805" s="3">
        <v>165</v>
      </c>
      <c r="J805" s="3" t="s">
        <v>20</v>
      </c>
    </row>
    <row r="806" spans="1:10" x14ac:dyDescent="0.35">
      <c r="A806" s="3" t="s">
        <v>836</v>
      </c>
      <c r="B806" s="4">
        <v>43297</v>
      </c>
      <c r="C806" s="3" t="s">
        <v>15</v>
      </c>
      <c r="D806" s="3" t="s">
        <v>12</v>
      </c>
      <c r="E806" s="3">
        <v>5</v>
      </c>
      <c r="F806" s="3">
        <v>40</v>
      </c>
      <c r="G806" s="3">
        <v>200</v>
      </c>
      <c r="H806" s="3">
        <v>0.06</v>
      </c>
      <c r="I806" s="3">
        <v>12</v>
      </c>
      <c r="J806" s="3" t="s">
        <v>37</v>
      </c>
    </row>
    <row r="807" spans="1:10" x14ac:dyDescent="0.35">
      <c r="A807" s="3" t="s">
        <v>837</v>
      </c>
      <c r="B807" s="4">
        <v>43297</v>
      </c>
      <c r="C807" s="3" t="s">
        <v>34</v>
      </c>
      <c r="D807" s="3" t="s">
        <v>27</v>
      </c>
      <c r="E807" s="3">
        <v>20</v>
      </c>
      <c r="F807" s="3">
        <v>150</v>
      </c>
      <c r="G807" s="3">
        <v>3000</v>
      </c>
      <c r="H807" s="3">
        <v>0.1</v>
      </c>
      <c r="I807" s="3">
        <v>300</v>
      </c>
      <c r="J807" s="3" t="s">
        <v>20</v>
      </c>
    </row>
    <row r="808" spans="1:10" x14ac:dyDescent="0.35">
      <c r="A808" s="3" t="s">
        <v>838</v>
      </c>
      <c r="B808" s="4">
        <v>43297</v>
      </c>
      <c r="C808" s="3" t="s">
        <v>11</v>
      </c>
      <c r="D808" s="3" t="s">
        <v>27</v>
      </c>
      <c r="E808" s="3">
        <v>22</v>
      </c>
      <c r="F808" s="3">
        <v>80</v>
      </c>
      <c r="G808" s="3">
        <v>1760</v>
      </c>
      <c r="H808" s="3">
        <v>0.03</v>
      </c>
      <c r="I808" s="3">
        <v>52.8</v>
      </c>
      <c r="J808" s="3" t="s">
        <v>37</v>
      </c>
    </row>
    <row r="809" spans="1:10" x14ac:dyDescent="0.35">
      <c r="A809" s="3" t="s">
        <v>839</v>
      </c>
      <c r="B809" s="4">
        <v>43297</v>
      </c>
      <c r="C809" s="3" t="s">
        <v>30</v>
      </c>
      <c r="D809" s="3" t="s">
        <v>12</v>
      </c>
      <c r="E809" s="3">
        <v>11</v>
      </c>
      <c r="F809" s="3">
        <v>16</v>
      </c>
      <c r="G809" s="3">
        <v>176</v>
      </c>
      <c r="H809" s="3">
        <v>0.09</v>
      </c>
      <c r="I809" s="3">
        <v>15.84</v>
      </c>
      <c r="J809" s="3" t="s">
        <v>20</v>
      </c>
    </row>
    <row r="810" spans="1:10" x14ac:dyDescent="0.35">
      <c r="A810" s="3" t="s">
        <v>840</v>
      </c>
      <c r="B810" s="4">
        <v>43297</v>
      </c>
      <c r="C810" s="3" t="s">
        <v>30</v>
      </c>
      <c r="D810" s="3" t="s">
        <v>16</v>
      </c>
      <c r="E810" s="3">
        <v>22</v>
      </c>
      <c r="F810" s="3">
        <v>16</v>
      </c>
      <c r="G810" s="3">
        <v>352</v>
      </c>
      <c r="H810" s="3">
        <v>0.01</v>
      </c>
      <c r="I810" s="3">
        <v>3.52</v>
      </c>
      <c r="J810" s="3" t="s">
        <v>37</v>
      </c>
    </row>
    <row r="811" spans="1:10" x14ac:dyDescent="0.35">
      <c r="A811" s="3" t="s">
        <v>841</v>
      </c>
      <c r="B811" s="4">
        <v>43297</v>
      </c>
      <c r="C811" s="3" t="s">
        <v>15</v>
      </c>
      <c r="D811" s="3" t="s">
        <v>16</v>
      </c>
      <c r="E811" s="3">
        <v>23</v>
      </c>
      <c r="F811" s="3">
        <v>40</v>
      </c>
      <c r="G811" s="3">
        <v>920</v>
      </c>
      <c r="H811" s="3">
        <v>0.06</v>
      </c>
      <c r="I811" s="3">
        <v>55.199999999999996</v>
      </c>
      <c r="J811" s="3" t="s">
        <v>20</v>
      </c>
    </row>
    <row r="812" spans="1:10" x14ac:dyDescent="0.35">
      <c r="A812" s="3" t="s">
        <v>842</v>
      </c>
      <c r="B812" s="4">
        <v>43297</v>
      </c>
      <c r="C812" s="3" t="s">
        <v>11</v>
      </c>
      <c r="D812" s="3" t="s">
        <v>24</v>
      </c>
      <c r="E812" s="3">
        <v>14</v>
      </c>
      <c r="F812" s="3">
        <v>80</v>
      </c>
      <c r="G812" s="3">
        <v>1120</v>
      </c>
      <c r="H812" s="3">
        <v>0.1</v>
      </c>
      <c r="I812" s="3">
        <v>112</v>
      </c>
      <c r="J812" s="3" t="s">
        <v>37</v>
      </c>
    </row>
    <row r="813" spans="1:10" x14ac:dyDescent="0.35">
      <c r="A813" s="3" t="s">
        <v>843</v>
      </c>
      <c r="B813" s="4">
        <v>43297</v>
      </c>
      <c r="C813" s="3" t="s">
        <v>15</v>
      </c>
      <c r="D813" s="3" t="s">
        <v>12</v>
      </c>
      <c r="E813" s="3">
        <v>18</v>
      </c>
      <c r="F813" s="3">
        <v>40</v>
      </c>
      <c r="G813" s="3">
        <v>720</v>
      </c>
      <c r="H813" s="3">
        <v>0.06</v>
      </c>
      <c r="I813" s="3">
        <v>43.199999999999996</v>
      </c>
      <c r="J813" s="3" t="s">
        <v>20</v>
      </c>
    </row>
    <row r="814" spans="1:10" x14ac:dyDescent="0.35">
      <c r="A814" s="3" t="s">
        <v>844</v>
      </c>
      <c r="B814" s="4">
        <v>43298</v>
      </c>
      <c r="C814" s="3" t="s">
        <v>34</v>
      </c>
      <c r="D814" s="3" t="s">
        <v>27</v>
      </c>
      <c r="E814" s="3">
        <v>7</v>
      </c>
      <c r="F814" s="3">
        <v>150</v>
      </c>
      <c r="G814" s="3">
        <v>1050</v>
      </c>
      <c r="H814" s="3">
        <v>0.05</v>
      </c>
      <c r="I814" s="3">
        <v>52.5</v>
      </c>
      <c r="J814" s="3" t="s">
        <v>17</v>
      </c>
    </row>
    <row r="815" spans="1:10" x14ac:dyDescent="0.35">
      <c r="A815" s="3" t="s">
        <v>845</v>
      </c>
      <c r="B815" s="4">
        <v>43298</v>
      </c>
      <c r="C815" s="3" t="s">
        <v>15</v>
      </c>
      <c r="D815" s="3" t="s">
        <v>27</v>
      </c>
      <c r="E815" s="3">
        <v>15</v>
      </c>
      <c r="F815" s="3">
        <v>40</v>
      </c>
      <c r="G815" s="3">
        <v>600</v>
      </c>
      <c r="H815" s="3">
        <v>0.03</v>
      </c>
      <c r="I815" s="3">
        <v>18</v>
      </c>
      <c r="J815" s="3" t="s">
        <v>20</v>
      </c>
    </row>
    <row r="816" spans="1:10" x14ac:dyDescent="0.35">
      <c r="A816" s="3" t="s">
        <v>846</v>
      </c>
      <c r="B816" s="4">
        <v>43298</v>
      </c>
      <c r="C816" s="3" t="s">
        <v>30</v>
      </c>
      <c r="D816" s="3" t="s">
        <v>12</v>
      </c>
      <c r="E816" s="3">
        <v>7</v>
      </c>
      <c r="F816" s="3">
        <v>16</v>
      </c>
      <c r="G816" s="3">
        <v>112</v>
      </c>
      <c r="H816" s="3">
        <v>0.02</v>
      </c>
      <c r="I816" s="3">
        <v>2.2400000000000002</v>
      </c>
      <c r="J816" s="3" t="s">
        <v>22</v>
      </c>
    </row>
    <row r="817" spans="1:10" x14ac:dyDescent="0.35">
      <c r="A817" s="3" t="s">
        <v>847</v>
      </c>
      <c r="B817" s="4">
        <v>43298</v>
      </c>
      <c r="C817" s="3" t="s">
        <v>30</v>
      </c>
      <c r="D817" s="3" t="s">
        <v>27</v>
      </c>
      <c r="E817" s="3">
        <v>15</v>
      </c>
      <c r="F817" s="3">
        <v>16</v>
      </c>
      <c r="G817" s="3">
        <v>240</v>
      </c>
      <c r="H817" s="3">
        <v>0.12</v>
      </c>
      <c r="I817" s="3">
        <v>28.799999999999997</v>
      </c>
      <c r="J817" s="3" t="s">
        <v>25</v>
      </c>
    </row>
    <row r="818" spans="1:10" x14ac:dyDescent="0.35">
      <c r="A818" s="3" t="s">
        <v>848</v>
      </c>
      <c r="B818" s="4">
        <v>43298</v>
      </c>
      <c r="C818" s="3" t="s">
        <v>15</v>
      </c>
      <c r="D818" s="3" t="s">
        <v>12</v>
      </c>
      <c r="E818" s="3">
        <v>5</v>
      </c>
      <c r="F818" s="3">
        <v>40</v>
      </c>
      <c r="G818" s="3">
        <v>200</v>
      </c>
      <c r="H818" s="3">
        <v>0.09</v>
      </c>
      <c r="I818" s="3">
        <v>18</v>
      </c>
      <c r="J818" s="3" t="s">
        <v>28</v>
      </c>
    </row>
    <row r="819" spans="1:10" x14ac:dyDescent="0.35">
      <c r="A819" s="3" t="s">
        <v>849</v>
      </c>
      <c r="B819" s="4">
        <v>43298</v>
      </c>
      <c r="C819" s="3" t="s">
        <v>15</v>
      </c>
      <c r="D819" s="3" t="s">
        <v>31</v>
      </c>
      <c r="E819" s="3">
        <v>20</v>
      </c>
      <c r="F819" s="3">
        <v>40</v>
      </c>
      <c r="G819" s="3">
        <v>800</v>
      </c>
      <c r="H819" s="3">
        <v>0.03</v>
      </c>
      <c r="I819" s="3">
        <v>24</v>
      </c>
      <c r="J819" s="3" t="s">
        <v>32</v>
      </c>
    </row>
    <row r="820" spans="1:10" x14ac:dyDescent="0.35">
      <c r="A820" s="3" t="s">
        <v>850</v>
      </c>
      <c r="B820" s="4">
        <v>43298</v>
      </c>
      <c r="C820" s="3" t="s">
        <v>19</v>
      </c>
      <c r="D820" s="3" t="s">
        <v>27</v>
      </c>
      <c r="E820" s="3">
        <v>11</v>
      </c>
      <c r="F820" s="3">
        <v>230</v>
      </c>
      <c r="G820" s="3">
        <v>2530</v>
      </c>
      <c r="H820" s="3">
        <v>0.12</v>
      </c>
      <c r="I820" s="3">
        <v>303.59999999999997</v>
      </c>
      <c r="J820" s="3" t="s">
        <v>35</v>
      </c>
    </row>
    <row r="821" spans="1:10" x14ac:dyDescent="0.35">
      <c r="A821" s="3" t="s">
        <v>851</v>
      </c>
      <c r="B821" s="4">
        <v>43298</v>
      </c>
      <c r="C821" s="3" t="s">
        <v>30</v>
      </c>
      <c r="D821" s="3" t="s">
        <v>31</v>
      </c>
      <c r="E821" s="3">
        <v>17</v>
      </c>
      <c r="F821" s="3">
        <v>16</v>
      </c>
      <c r="G821" s="3">
        <v>272</v>
      </c>
      <c r="H821" s="3">
        <v>0.08</v>
      </c>
      <c r="I821" s="3">
        <v>21.76</v>
      </c>
      <c r="J821" s="3" t="s">
        <v>37</v>
      </c>
    </row>
    <row r="822" spans="1:10" x14ac:dyDescent="0.35">
      <c r="A822" s="3" t="s">
        <v>852</v>
      </c>
      <c r="B822" s="4">
        <v>43299</v>
      </c>
      <c r="C822" s="3" t="s">
        <v>30</v>
      </c>
      <c r="D822" s="3" t="s">
        <v>12</v>
      </c>
      <c r="E822" s="3">
        <v>18</v>
      </c>
      <c r="F822" s="3">
        <v>16</v>
      </c>
      <c r="G822" s="3">
        <v>288</v>
      </c>
      <c r="H822" s="3">
        <v>0.11</v>
      </c>
      <c r="I822" s="3">
        <v>31.68</v>
      </c>
      <c r="J822" s="3" t="s">
        <v>39</v>
      </c>
    </row>
    <row r="823" spans="1:10" x14ac:dyDescent="0.35">
      <c r="A823" s="3" t="s">
        <v>853</v>
      </c>
      <c r="B823" s="4">
        <v>43299</v>
      </c>
      <c r="C823" s="3" t="s">
        <v>19</v>
      </c>
      <c r="D823" s="3" t="s">
        <v>27</v>
      </c>
      <c r="E823" s="3">
        <v>2</v>
      </c>
      <c r="F823" s="3">
        <v>230</v>
      </c>
      <c r="G823" s="3">
        <v>460</v>
      </c>
      <c r="H823" s="3">
        <v>0.08</v>
      </c>
      <c r="I823" s="3">
        <v>36.800000000000004</v>
      </c>
      <c r="J823" s="3" t="s">
        <v>41</v>
      </c>
    </row>
    <row r="824" spans="1:10" x14ac:dyDescent="0.35">
      <c r="A824" s="3" t="s">
        <v>854</v>
      </c>
      <c r="B824" s="4">
        <v>43299</v>
      </c>
      <c r="C824" s="3" t="s">
        <v>30</v>
      </c>
      <c r="D824" s="3" t="s">
        <v>24</v>
      </c>
      <c r="E824" s="3">
        <v>17</v>
      </c>
      <c r="F824" s="3">
        <v>16</v>
      </c>
      <c r="G824" s="3">
        <v>272</v>
      </c>
      <c r="H824" s="3">
        <v>0.05</v>
      </c>
      <c r="I824" s="3">
        <v>13.600000000000001</v>
      </c>
      <c r="J824" s="3" t="s">
        <v>43</v>
      </c>
    </row>
    <row r="825" spans="1:10" x14ac:dyDescent="0.35">
      <c r="A825" s="3" t="s">
        <v>855</v>
      </c>
      <c r="B825" s="4">
        <v>43299</v>
      </c>
      <c r="C825" s="3" t="s">
        <v>11</v>
      </c>
      <c r="D825" s="3" t="s">
        <v>27</v>
      </c>
      <c r="E825" s="3">
        <v>16</v>
      </c>
      <c r="F825" s="3">
        <v>80</v>
      </c>
      <c r="G825" s="3">
        <v>1280</v>
      </c>
      <c r="H825" s="3">
        <v>0.05</v>
      </c>
      <c r="I825" s="3">
        <v>64</v>
      </c>
      <c r="J825" s="3" t="s">
        <v>13</v>
      </c>
    </row>
    <row r="826" spans="1:10" x14ac:dyDescent="0.35">
      <c r="A826" s="3" t="s">
        <v>856</v>
      </c>
      <c r="B826" s="4">
        <v>43299</v>
      </c>
      <c r="C826" s="3" t="s">
        <v>19</v>
      </c>
      <c r="D826" s="3" t="s">
        <v>16</v>
      </c>
      <c r="E826" s="3">
        <v>14</v>
      </c>
      <c r="F826" s="3">
        <v>230</v>
      </c>
      <c r="G826" s="3">
        <v>3220</v>
      </c>
      <c r="H826" s="3">
        <v>0.05</v>
      </c>
      <c r="I826" s="3">
        <v>161</v>
      </c>
      <c r="J826" s="3" t="s">
        <v>17</v>
      </c>
    </row>
    <row r="827" spans="1:10" x14ac:dyDescent="0.35">
      <c r="A827" s="3" t="s">
        <v>857</v>
      </c>
      <c r="B827" s="4">
        <v>43299</v>
      </c>
      <c r="C827" s="3" t="s">
        <v>15</v>
      </c>
      <c r="D827" s="3" t="s">
        <v>24</v>
      </c>
      <c r="E827" s="3">
        <v>13</v>
      </c>
      <c r="F827" s="3">
        <v>40</v>
      </c>
      <c r="G827" s="3">
        <v>520</v>
      </c>
      <c r="H827" s="3">
        <v>0.02</v>
      </c>
      <c r="I827" s="3">
        <v>10.4</v>
      </c>
      <c r="J827" s="3" t="s">
        <v>20</v>
      </c>
    </row>
    <row r="828" spans="1:10" x14ac:dyDescent="0.35">
      <c r="A828" s="3" t="s">
        <v>858</v>
      </c>
      <c r="B828" s="4">
        <v>43299</v>
      </c>
      <c r="C828" s="3" t="s">
        <v>19</v>
      </c>
      <c r="D828" s="3" t="s">
        <v>16</v>
      </c>
      <c r="E828" s="3">
        <v>7</v>
      </c>
      <c r="F828" s="3">
        <v>230</v>
      </c>
      <c r="G828" s="3">
        <v>1610</v>
      </c>
      <c r="H828" s="3">
        <v>0.08</v>
      </c>
      <c r="I828" s="3">
        <v>128.80000000000001</v>
      </c>
      <c r="J828" s="3" t="s">
        <v>22</v>
      </c>
    </row>
    <row r="829" spans="1:10" x14ac:dyDescent="0.35">
      <c r="A829" s="3" t="s">
        <v>859</v>
      </c>
      <c r="B829" s="4">
        <v>43299</v>
      </c>
      <c r="C829" s="3" t="s">
        <v>15</v>
      </c>
      <c r="D829" s="3" t="s">
        <v>27</v>
      </c>
      <c r="E829" s="3">
        <v>7</v>
      </c>
      <c r="F829" s="3">
        <v>40</v>
      </c>
      <c r="G829" s="3">
        <v>280</v>
      </c>
      <c r="H829" s="3">
        <v>0.11</v>
      </c>
      <c r="I829" s="3">
        <v>30.8</v>
      </c>
      <c r="J829" s="3" t="s">
        <v>25</v>
      </c>
    </row>
    <row r="830" spans="1:10" x14ac:dyDescent="0.35">
      <c r="A830" s="3" t="s">
        <v>860</v>
      </c>
      <c r="B830" s="4">
        <v>43299</v>
      </c>
      <c r="C830" s="3" t="s">
        <v>19</v>
      </c>
      <c r="D830" s="3" t="s">
        <v>24</v>
      </c>
      <c r="E830" s="3">
        <v>12</v>
      </c>
      <c r="F830" s="3">
        <v>230</v>
      </c>
      <c r="G830" s="3">
        <v>2760</v>
      </c>
      <c r="H830" s="3">
        <v>0.06</v>
      </c>
      <c r="I830" s="3">
        <v>165.6</v>
      </c>
      <c r="J830" s="3" t="s">
        <v>28</v>
      </c>
    </row>
    <row r="831" spans="1:10" x14ac:dyDescent="0.35">
      <c r="A831" s="3" t="s">
        <v>861</v>
      </c>
      <c r="B831" s="4">
        <v>43299</v>
      </c>
      <c r="C831" s="3" t="s">
        <v>15</v>
      </c>
      <c r="D831" s="3" t="s">
        <v>12</v>
      </c>
      <c r="E831" s="3">
        <v>19</v>
      </c>
      <c r="F831" s="3">
        <v>40</v>
      </c>
      <c r="G831" s="3">
        <v>760</v>
      </c>
      <c r="H831" s="3">
        <v>0.04</v>
      </c>
      <c r="I831" s="3">
        <v>30.400000000000002</v>
      </c>
      <c r="J831" s="3" t="s">
        <v>17</v>
      </c>
    </row>
    <row r="832" spans="1:10" x14ac:dyDescent="0.35">
      <c r="A832" s="3" t="s">
        <v>862</v>
      </c>
      <c r="B832" s="4">
        <v>43300</v>
      </c>
      <c r="C832" s="3" t="s">
        <v>19</v>
      </c>
      <c r="D832" s="3" t="s">
        <v>24</v>
      </c>
      <c r="E832" s="3">
        <v>20</v>
      </c>
      <c r="F832" s="3">
        <v>230</v>
      </c>
      <c r="G832" s="3">
        <v>4600</v>
      </c>
      <c r="H832" s="3">
        <v>0.06</v>
      </c>
      <c r="I832" s="3">
        <v>276</v>
      </c>
      <c r="J832" s="3" t="s">
        <v>20</v>
      </c>
    </row>
    <row r="833" spans="1:10" x14ac:dyDescent="0.35">
      <c r="A833" s="3" t="s">
        <v>863</v>
      </c>
      <c r="B833" s="4">
        <v>43300</v>
      </c>
      <c r="C833" s="3" t="s">
        <v>15</v>
      </c>
      <c r="D833" s="3" t="s">
        <v>31</v>
      </c>
      <c r="E833" s="3">
        <v>23</v>
      </c>
      <c r="F833" s="3">
        <v>40</v>
      </c>
      <c r="G833" s="3">
        <v>920</v>
      </c>
      <c r="H833" s="3">
        <v>0.04</v>
      </c>
      <c r="I833" s="3">
        <v>36.800000000000004</v>
      </c>
      <c r="J833" s="3" t="s">
        <v>22</v>
      </c>
    </row>
    <row r="834" spans="1:10" x14ac:dyDescent="0.35">
      <c r="A834" s="3" t="s">
        <v>864</v>
      </c>
      <c r="B834" s="4">
        <v>43300</v>
      </c>
      <c r="C834" s="3" t="s">
        <v>11</v>
      </c>
      <c r="D834" s="3" t="s">
        <v>31</v>
      </c>
      <c r="E834" s="3">
        <v>16</v>
      </c>
      <c r="F834" s="3">
        <v>80</v>
      </c>
      <c r="G834" s="3">
        <v>1280</v>
      </c>
      <c r="H834" s="3">
        <v>0.05</v>
      </c>
      <c r="I834" s="3">
        <v>64</v>
      </c>
      <c r="J834" s="3" t="s">
        <v>25</v>
      </c>
    </row>
    <row r="835" spans="1:10" x14ac:dyDescent="0.35">
      <c r="A835" s="3" t="s">
        <v>865</v>
      </c>
      <c r="B835" s="4">
        <v>43300</v>
      </c>
      <c r="C835" s="3" t="s">
        <v>34</v>
      </c>
      <c r="D835" s="3" t="s">
        <v>16</v>
      </c>
      <c r="E835" s="3">
        <v>23</v>
      </c>
      <c r="F835" s="3">
        <v>150</v>
      </c>
      <c r="G835" s="3">
        <v>3450</v>
      </c>
      <c r="H835" s="3">
        <v>0.11</v>
      </c>
      <c r="I835" s="3">
        <v>379.5</v>
      </c>
      <c r="J835" s="3" t="s">
        <v>28</v>
      </c>
    </row>
    <row r="836" spans="1:10" x14ac:dyDescent="0.35">
      <c r="A836" s="3" t="s">
        <v>866</v>
      </c>
      <c r="B836" s="4">
        <v>43300</v>
      </c>
      <c r="C836" s="3" t="s">
        <v>30</v>
      </c>
      <c r="D836" s="3" t="s">
        <v>16</v>
      </c>
      <c r="E836" s="3">
        <v>4</v>
      </c>
      <c r="F836" s="3">
        <v>16</v>
      </c>
      <c r="G836" s="3">
        <v>64</v>
      </c>
      <c r="H836" s="3">
        <v>7.0000000000000007E-2</v>
      </c>
      <c r="I836" s="3">
        <v>4.4800000000000004</v>
      </c>
      <c r="J836" s="3" t="s">
        <v>32</v>
      </c>
    </row>
    <row r="837" spans="1:10" x14ac:dyDescent="0.35">
      <c r="A837" s="3" t="s">
        <v>867</v>
      </c>
      <c r="B837" s="4">
        <v>43300</v>
      </c>
      <c r="C837" s="3" t="s">
        <v>19</v>
      </c>
      <c r="D837" s="3" t="s">
        <v>12</v>
      </c>
      <c r="E837" s="3">
        <v>8</v>
      </c>
      <c r="F837" s="3">
        <v>230</v>
      </c>
      <c r="G837" s="3">
        <v>1840</v>
      </c>
      <c r="H837" s="3">
        <v>0.03</v>
      </c>
      <c r="I837" s="3">
        <v>55.199999999999996</v>
      </c>
      <c r="J837" s="3" t="s">
        <v>35</v>
      </c>
    </row>
    <row r="838" spans="1:10" x14ac:dyDescent="0.35">
      <c r="A838" s="3" t="s">
        <v>868</v>
      </c>
      <c r="B838" s="4">
        <v>43300</v>
      </c>
      <c r="C838" s="3" t="s">
        <v>11</v>
      </c>
      <c r="D838" s="3" t="s">
        <v>16</v>
      </c>
      <c r="E838" s="3">
        <v>17</v>
      </c>
      <c r="F838" s="3">
        <v>80</v>
      </c>
      <c r="G838" s="3">
        <v>1360</v>
      </c>
      <c r="H838" s="3">
        <v>0.03</v>
      </c>
      <c r="I838" s="3">
        <v>40.799999999999997</v>
      </c>
      <c r="J838" s="3" t="s">
        <v>37</v>
      </c>
    </row>
    <row r="839" spans="1:10" x14ac:dyDescent="0.35">
      <c r="A839" s="3" t="s">
        <v>869</v>
      </c>
      <c r="B839" s="4">
        <v>43300</v>
      </c>
      <c r="C839" s="3" t="s">
        <v>11</v>
      </c>
      <c r="D839" s="3" t="s">
        <v>27</v>
      </c>
      <c r="E839" s="3">
        <v>10</v>
      </c>
      <c r="F839" s="3">
        <v>80</v>
      </c>
      <c r="G839" s="3">
        <v>800</v>
      </c>
      <c r="H839" s="3">
        <v>0.1</v>
      </c>
      <c r="I839" s="3">
        <v>80</v>
      </c>
      <c r="J839" s="3" t="s">
        <v>39</v>
      </c>
    </row>
    <row r="840" spans="1:10" x14ac:dyDescent="0.35">
      <c r="A840" s="3" t="s">
        <v>870</v>
      </c>
      <c r="B840" s="4">
        <v>43300</v>
      </c>
      <c r="C840" s="3" t="s">
        <v>30</v>
      </c>
      <c r="D840" s="3" t="s">
        <v>12</v>
      </c>
      <c r="E840" s="3">
        <v>20</v>
      </c>
      <c r="F840" s="3">
        <v>16</v>
      </c>
      <c r="G840" s="3">
        <v>320</v>
      </c>
      <c r="H840" s="3">
        <v>0.11</v>
      </c>
      <c r="I840" s="3">
        <v>35.200000000000003</v>
      </c>
      <c r="J840" s="3" t="s">
        <v>41</v>
      </c>
    </row>
    <row r="841" spans="1:10" x14ac:dyDescent="0.35">
      <c r="A841" s="3" t="s">
        <v>871</v>
      </c>
      <c r="B841" s="4">
        <v>43301</v>
      </c>
      <c r="C841" s="3" t="s">
        <v>19</v>
      </c>
      <c r="D841" s="3" t="s">
        <v>27</v>
      </c>
      <c r="E841" s="3">
        <v>19</v>
      </c>
      <c r="F841" s="3">
        <v>230</v>
      </c>
      <c r="G841" s="3">
        <v>4370</v>
      </c>
      <c r="H841" s="3">
        <v>0.06</v>
      </c>
      <c r="I841" s="3">
        <v>262.2</v>
      </c>
      <c r="J841" s="3" t="s">
        <v>43</v>
      </c>
    </row>
    <row r="842" spans="1:10" x14ac:dyDescent="0.35">
      <c r="A842" s="3" t="s">
        <v>872</v>
      </c>
      <c r="B842" s="4">
        <v>43301</v>
      </c>
      <c r="C842" s="3" t="s">
        <v>15</v>
      </c>
      <c r="D842" s="3" t="s">
        <v>24</v>
      </c>
      <c r="E842" s="3">
        <v>18</v>
      </c>
      <c r="F842" s="3">
        <v>40</v>
      </c>
      <c r="G842" s="3">
        <v>720</v>
      </c>
      <c r="H842" s="3">
        <v>0.03</v>
      </c>
      <c r="I842" s="3">
        <v>21.599999999999998</v>
      </c>
      <c r="J842" s="3" t="s">
        <v>13</v>
      </c>
    </row>
    <row r="843" spans="1:10" x14ac:dyDescent="0.35">
      <c r="A843" s="3" t="s">
        <v>873</v>
      </c>
      <c r="B843" s="4">
        <v>43301</v>
      </c>
      <c r="C843" s="3" t="s">
        <v>11</v>
      </c>
      <c r="D843" s="3" t="s">
        <v>16</v>
      </c>
      <c r="E843" s="3">
        <v>16</v>
      </c>
      <c r="F843" s="3">
        <v>80</v>
      </c>
      <c r="G843" s="3">
        <v>1280</v>
      </c>
      <c r="H843" s="3">
        <v>0.04</v>
      </c>
      <c r="I843" s="3">
        <v>51.2</v>
      </c>
      <c r="J843" s="3" t="s">
        <v>17</v>
      </c>
    </row>
    <row r="844" spans="1:10" x14ac:dyDescent="0.35">
      <c r="A844" s="3" t="s">
        <v>874</v>
      </c>
      <c r="B844" s="4">
        <v>43301</v>
      </c>
      <c r="C844" s="3" t="s">
        <v>11</v>
      </c>
      <c r="D844" s="3" t="s">
        <v>27</v>
      </c>
      <c r="E844" s="3">
        <v>8</v>
      </c>
      <c r="F844" s="3">
        <v>80</v>
      </c>
      <c r="G844" s="3">
        <v>640</v>
      </c>
      <c r="H844" s="3">
        <v>0.06</v>
      </c>
      <c r="I844" s="3">
        <v>38.4</v>
      </c>
      <c r="J844" s="3" t="s">
        <v>20</v>
      </c>
    </row>
    <row r="845" spans="1:10" x14ac:dyDescent="0.35">
      <c r="A845" s="3" t="s">
        <v>875</v>
      </c>
      <c r="B845" s="4">
        <v>43301</v>
      </c>
      <c r="C845" s="3" t="s">
        <v>34</v>
      </c>
      <c r="D845" s="3" t="s">
        <v>27</v>
      </c>
      <c r="E845" s="3">
        <v>4</v>
      </c>
      <c r="F845" s="3">
        <v>150</v>
      </c>
      <c r="G845" s="3">
        <v>600</v>
      </c>
      <c r="H845" s="3">
        <v>0.12</v>
      </c>
      <c r="I845" s="3">
        <v>72</v>
      </c>
      <c r="J845" s="3" t="s">
        <v>22</v>
      </c>
    </row>
    <row r="846" spans="1:10" x14ac:dyDescent="0.35">
      <c r="A846" s="3" t="s">
        <v>876</v>
      </c>
      <c r="B846" s="4">
        <v>43301</v>
      </c>
      <c r="C846" s="3" t="s">
        <v>19</v>
      </c>
      <c r="D846" s="3" t="s">
        <v>24</v>
      </c>
      <c r="E846" s="3">
        <v>15</v>
      </c>
      <c r="F846" s="3">
        <v>230</v>
      </c>
      <c r="G846" s="3">
        <v>3450</v>
      </c>
      <c r="H846" s="3">
        <v>0.04</v>
      </c>
      <c r="I846" s="3">
        <v>138</v>
      </c>
      <c r="J846" s="3" t="s">
        <v>25</v>
      </c>
    </row>
    <row r="847" spans="1:10" x14ac:dyDescent="0.35">
      <c r="A847" s="3" t="s">
        <v>877</v>
      </c>
      <c r="B847" s="4">
        <v>43302</v>
      </c>
      <c r="C847" s="3" t="s">
        <v>30</v>
      </c>
      <c r="D847" s="3" t="s">
        <v>16</v>
      </c>
      <c r="E847" s="3">
        <v>7</v>
      </c>
      <c r="F847" s="3">
        <v>16</v>
      </c>
      <c r="G847" s="3">
        <v>112</v>
      </c>
      <c r="H847" s="3">
        <v>0.08</v>
      </c>
      <c r="I847" s="3">
        <v>8.9600000000000009</v>
      </c>
      <c r="J847" s="3" t="s">
        <v>28</v>
      </c>
    </row>
    <row r="848" spans="1:10" x14ac:dyDescent="0.35">
      <c r="A848" s="3" t="s">
        <v>878</v>
      </c>
      <c r="B848" s="4">
        <v>43302</v>
      </c>
      <c r="C848" s="3" t="s">
        <v>15</v>
      </c>
      <c r="D848" s="3" t="s">
        <v>12</v>
      </c>
      <c r="E848" s="3">
        <v>18</v>
      </c>
      <c r="F848" s="3">
        <v>40</v>
      </c>
      <c r="G848" s="3">
        <v>720</v>
      </c>
      <c r="H848" s="3">
        <v>0.11</v>
      </c>
      <c r="I848" s="3">
        <v>79.2</v>
      </c>
      <c r="J848" s="3" t="s">
        <v>17</v>
      </c>
    </row>
    <row r="849" spans="1:10" x14ac:dyDescent="0.35">
      <c r="A849" s="3" t="s">
        <v>879</v>
      </c>
      <c r="B849" s="4">
        <v>43302</v>
      </c>
      <c r="C849" s="3" t="s">
        <v>15</v>
      </c>
      <c r="D849" s="3" t="s">
        <v>24</v>
      </c>
      <c r="E849" s="3">
        <v>4</v>
      </c>
      <c r="F849" s="3">
        <v>40</v>
      </c>
      <c r="G849" s="3">
        <v>160</v>
      </c>
      <c r="H849" s="3">
        <v>0.06</v>
      </c>
      <c r="I849" s="3">
        <v>9.6</v>
      </c>
      <c r="J849" s="3" t="s">
        <v>20</v>
      </c>
    </row>
    <row r="850" spans="1:10" x14ac:dyDescent="0.35">
      <c r="A850" s="3" t="s">
        <v>880</v>
      </c>
      <c r="B850" s="4">
        <v>43302</v>
      </c>
      <c r="C850" s="3" t="s">
        <v>15</v>
      </c>
      <c r="D850" s="3" t="s">
        <v>31</v>
      </c>
      <c r="E850" s="3">
        <v>16</v>
      </c>
      <c r="F850" s="3">
        <v>40</v>
      </c>
      <c r="G850" s="3">
        <v>640</v>
      </c>
      <c r="H850" s="3">
        <v>0.09</v>
      </c>
      <c r="I850" s="3">
        <v>57.599999999999994</v>
      </c>
      <c r="J850" s="3" t="s">
        <v>22</v>
      </c>
    </row>
    <row r="851" spans="1:10" x14ac:dyDescent="0.35">
      <c r="A851" s="3" t="s">
        <v>881</v>
      </c>
      <c r="B851" s="4">
        <v>43302</v>
      </c>
      <c r="C851" s="3" t="s">
        <v>15</v>
      </c>
      <c r="D851" s="3" t="s">
        <v>16</v>
      </c>
      <c r="E851" s="3">
        <v>18</v>
      </c>
      <c r="F851" s="3">
        <v>40</v>
      </c>
      <c r="G851" s="3">
        <v>720</v>
      </c>
      <c r="H851" s="3">
        <v>0.08</v>
      </c>
      <c r="I851" s="3">
        <v>57.6</v>
      </c>
      <c r="J851" s="3" t="s">
        <v>25</v>
      </c>
    </row>
    <row r="852" spans="1:10" x14ac:dyDescent="0.35">
      <c r="A852" s="3" t="s">
        <v>882</v>
      </c>
      <c r="B852" s="4">
        <v>43302</v>
      </c>
      <c r="C852" s="3" t="s">
        <v>15</v>
      </c>
      <c r="D852" s="3" t="s">
        <v>12</v>
      </c>
      <c r="E852" s="3">
        <v>9</v>
      </c>
      <c r="F852" s="3">
        <v>40</v>
      </c>
      <c r="G852" s="3">
        <v>360</v>
      </c>
      <c r="H852" s="3">
        <v>0.01</v>
      </c>
      <c r="I852" s="3">
        <v>3.6</v>
      </c>
      <c r="J852" s="3" t="s">
        <v>28</v>
      </c>
    </row>
    <row r="853" spans="1:10" x14ac:dyDescent="0.35">
      <c r="A853" s="3" t="s">
        <v>883</v>
      </c>
      <c r="B853" s="4">
        <v>43302</v>
      </c>
      <c r="C853" s="3" t="s">
        <v>19</v>
      </c>
      <c r="D853" s="3" t="s">
        <v>27</v>
      </c>
      <c r="E853" s="3">
        <v>16</v>
      </c>
      <c r="F853" s="3">
        <v>230</v>
      </c>
      <c r="G853" s="3">
        <v>3680</v>
      </c>
      <c r="H853" s="3">
        <v>0.11</v>
      </c>
      <c r="I853" s="3">
        <v>404.8</v>
      </c>
      <c r="J853" s="3" t="s">
        <v>32</v>
      </c>
    </row>
    <row r="854" spans="1:10" x14ac:dyDescent="0.35">
      <c r="A854" s="3" t="s">
        <v>884</v>
      </c>
      <c r="B854" s="4">
        <v>43302</v>
      </c>
      <c r="C854" s="3" t="s">
        <v>30</v>
      </c>
      <c r="D854" s="3" t="s">
        <v>24</v>
      </c>
      <c r="E854" s="3">
        <v>12</v>
      </c>
      <c r="F854" s="3">
        <v>16</v>
      </c>
      <c r="G854" s="3">
        <v>192</v>
      </c>
      <c r="H854" s="3">
        <v>0.11</v>
      </c>
      <c r="I854" s="3">
        <v>21.12</v>
      </c>
      <c r="J854" s="3" t="s">
        <v>35</v>
      </c>
    </row>
    <row r="855" spans="1:10" x14ac:dyDescent="0.35">
      <c r="A855" s="3" t="s">
        <v>885</v>
      </c>
      <c r="B855" s="4">
        <v>43302</v>
      </c>
      <c r="C855" s="3" t="s">
        <v>11</v>
      </c>
      <c r="D855" s="3" t="s">
        <v>16</v>
      </c>
      <c r="E855" s="3">
        <v>2</v>
      </c>
      <c r="F855" s="3">
        <v>80</v>
      </c>
      <c r="G855" s="3">
        <v>160</v>
      </c>
      <c r="H855" s="3">
        <v>7.0000000000000007E-2</v>
      </c>
      <c r="I855" s="3">
        <v>11.200000000000001</v>
      </c>
      <c r="J855" s="3" t="s">
        <v>37</v>
      </c>
    </row>
    <row r="856" spans="1:10" x14ac:dyDescent="0.35">
      <c r="A856" s="3" t="s">
        <v>886</v>
      </c>
      <c r="B856" s="4">
        <v>43302</v>
      </c>
      <c r="C856" s="3" t="s">
        <v>15</v>
      </c>
      <c r="D856" s="3" t="s">
        <v>12</v>
      </c>
      <c r="E856" s="3">
        <v>2</v>
      </c>
      <c r="F856" s="3">
        <v>40</v>
      </c>
      <c r="G856" s="3">
        <v>80</v>
      </c>
      <c r="H856" s="3">
        <v>0.12</v>
      </c>
      <c r="I856" s="3">
        <v>9.6</v>
      </c>
      <c r="J856" s="3" t="s">
        <v>39</v>
      </c>
    </row>
    <row r="857" spans="1:10" x14ac:dyDescent="0.35">
      <c r="A857" s="3" t="s">
        <v>887</v>
      </c>
      <c r="B857" s="4">
        <v>43303</v>
      </c>
      <c r="C857" s="3" t="s">
        <v>34</v>
      </c>
      <c r="D857" s="3" t="s">
        <v>12</v>
      </c>
      <c r="E857" s="3">
        <v>13</v>
      </c>
      <c r="F857" s="3">
        <v>150</v>
      </c>
      <c r="G857" s="3">
        <v>1950</v>
      </c>
      <c r="H857" s="3">
        <v>0.05</v>
      </c>
      <c r="I857" s="3">
        <v>97.5</v>
      </c>
      <c r="J857" s="3" t="s">
        <v>41</v>
      </c>
    </row>
    <row r="858" spans="1:10" x14ac:dyDescent="0.35">
      <c r="A858" s="3" t="s">
        <v>888</v>
      </c>
      <c r="B858" s="4">
        <v>43303</v>
      </c>
      <c r="C858" s="3" t="s">
        <v>11</v>
      </c>
      <c r="D858" s="3" t="s">
        <v>12</v>
      </c>
      <c r="E858" s="3">
        <v>14</v>
      </c>
      <c r="F858" s="3">
        <v>80</v>
      </c>
      <c r="G858" s="3">
        <v>1120</v>
      </c>
      <c r="H858" s="3">
        <v>0.08</v>
      </c>
      <c r="I858" s="3">
        <v>89.600000000000009</v>
      </c>
      <c r="J858" s="3" t="s">
        <v>43</v>
      </c>
    </row>
    <row r="859" spans="1:10" x14ac:dyDescent="0.35">
      <c r="A859" s="3" t="s">
        <v>889</v>
      </c>
      <c r="B859" s="4">
        <v>43303</v>
      </c>
      <c r="C859" s="3" t="s">
        <v>34</v>
      </c>
      <c r="D859" s="3" t="s">
        <v>27</v>
      </c>
      <c r="E859" s="3">
        <v>6</v>
      </c>
      <c r="F859" s="3">
        <v>150</v>
      </c>
      <c r="G859" s="3">
        <v>900</v>
      </c>
      <c r="H859" s="3">
        <v>0.03</v>
      </c>
      <c r="I859" s="3">
        <v>27</v>
      </c>
      <c r="J859" s="3" t="s">
        <v>13</v>
      </c>
    </row>
    <row r="860" spans="1:10" x14ac:dyDescent="0.35">
      <c r="A860" s="3" t="s">
        <v>890</v>
      </c>
      <c r="B860" s="4">
        <v>43303</v>
      </c>
      <c r="C860" s="3" t="s">
        <v>11</v>
      </c>
      <c r="D860" s="3" t="s">
        <v>27</v>
      </c>
      <c r="E860" s="3">
        <v>23</v>
      </c>
      <c r="F860" s="3">
        <v>80</v>
      </c>
      <c r="G860" s="3">
        <v>1840</v>
      </c>
      <c r="H860" s="3">
        <v>0.11</v>
      </c>
      <c r="I860" s="3">
        <v>202.4</v>
      </c>
      <c r="J860" s="3" t="s">
        <v>17</v>
      </c>
    </row>
    <row r="861" spans="1:10" x14ac:dyDescent="0.35">
      <c r="A861" s="3" t="s">
        <v>891</v>
      </c>
      <c r="B861" s="4">
        <v>43303</v>
      </c>
      <c r="C861" s="3" t="s">
        <v>11</v>
      </c>
      <c r="D861" s="3" t="s">
        <v>27</v>
      </c>
      <c r="E861" s="3">
        <v>21</v>
      </c>
      <c r="F861" s="3">
        <v>80</v>
      </c>
      <c r="G861" s="3">
        <v>1680</v>
      </c>
      <c r="H861" s="3">
        <v>0.05</v>
      </c>
      <c r="I861" s="3">
        <v>84</v>
      </c>
      <c r="J861" s="3" t="s">
        <v>20</v>
      </c>
    </row>
    <row r="862" spans="1:10" x14ac:dyDescent="0.35">
      <c r="A862" s="3" t="s">
        <v>892</v>
      </c>
      <c r="B862" s="4">
        <v>43303</v>
      </c>
      <c r="C862" s="3" t="s">
        <v>30</v>
      </c>
      <c r="D862" s="3" t="s">
        <v>24</v>
      </c>
      <c r="E862" s="3">
        <v>3</v>
      </c>
      <c r="F862" s="3">
        <v>16</v>
      </c>
      <c r="G862" s="3">
        <v>48</v>
      </c>
      <c r="H862" s="3">
        <v>0.05</v>
      </c>
      <c r="I862" s="3">
        <v>2.4000000000000004</v>
      </c>
      <c r="J862" s="3" t="s">
        <v>22</v>
      </c>
    </row>
    <row r="863" spans="1:10" x14ac:dyDescent="0.35">
      <c r="A863" s="3" t="s">
        <v>893</v>
      </c>
      <c r="B863" s="4">
        <v>43303</v>
      </c>
      <c r="C863" s="3" t="s">
        <v>30</v>
      </c>
      <c r="D863" s="3" t="s">
        <v>16</v>
      </c>
      <c r="E863" s="3">
        <v>21</v>
      </c>
      <c r="F863" s="3">
        <v>16</v>
      </c>
      <c r="G863" s="3">
        <v>336</v>
      </c>
      <c r="H863" s="3">
        <v>0.02</v>
      </c>
      <c r="I863" s="3">
        <v>6.72</v>
      </c>
      <c r="J863" s="3" t="s">
        <v>25</v>
      </c>
    </row>
    <row r="864" spans="1:10" x14ac:dyDescent="0.35">
      <c r="A864" s="3" t="s">
        <v>894</v>
      </c>
      <c r="B864" s="4">
        <v>43303</v>
      </c>
      <c r="C864" s="3" t="s">
        <v>11</v>
      </c>
      <c r="D864" s="3" t="s">
        <v>27</v>
      </c>
      <c r="E864" s="3">
        <v>4</v>
      </c>
      <c r="F864" s="3">
        <v>80</v>
      </c>
      <c r="G864" s="3">
        <v>320</v>
      </c>
      <c r="H864" s="3">
        <v>0.11</v>
      </c>
      <c r="I864" s="3">
        <v>35.200000000000003</v>
      </c>
      <c r="J864" s="3" t="s">
        <v>28</v>
      </c>
    </row>
    <row r="865" spans="1:10" x14ac:dyDescent="0.35">
      <c r="A865" s="3" t="s">
        <v>895</v>
      </c>
      <c r="B865" s="4">
        <v>43303</v>
      </c>
      <c r="C865" s="3" t="s">
        <v>34</v>
      </c>
      <c r="D865" s="3" t="s">
        <v>31</v>
      </c>
      <c r="E865" s="3">
        <v>23</v>
      </c>
      <c r="F865" s="3">
        <v>150</v>
      </c>
      <c r="G865" s="3">
        <v>3450</v>
      </c>
      <c r="H865" s="3">
        <v>0.08</v>
      </c>
      <c r="I865" s="3">
        <v>276</v>
      </c>
      <c r="J865" s="3" t="s">
        <v>17</v>
      </c>
    </row>
    <row r="866" spans="1:10" x14ac:dyDescent="0.35">
      <c r="A866" s="3" t="s">
        <v>896</v>
      </c>
      <c r="B866" s="4">
        <v>43303</v>
      </c>
      <c r="C866" s="3" t="s">
        <v>30</v>
      </c>
      <c r="D866" s="3" t="s">
        <v>31</v>
      </c>
      <c r="E866" s="3">
        <v>23</v>
      </c>
      <c r="F866" s="3">
        <v>16</v>
      </c>
      <c r="G866" s="3">
        <v>368</v>
      </c>
      <c r="H866" s="3">
        <v>0.01</v>
      </c>
      <c r="I866" s="3">
        <v>3.68</v>
      </c>
      <c r="J866" s="3" t="s">
        <v>20</v>
      </c>
    </row>
    <row r="867" spans="1:10" x14ac:dyDescent="0.35">
      <c r="A867" s="3" t="s">
        <v>897</v>
      </c>
      <c r="B867" s="4">
        <v>43303</v>
      </c>
      <c r="C867" s="3" t="s">
        <v>15</v>
      </c>
      <c r="D867" s="3" t="s">
        <v>27</v>
      </c>
      <c r="E867" s="3">
        <v>22</v>
      </c>
      <c r="F867" s="3">
        <v>40</v>
      </c>
      <c r="G867" s="3">
        <v>880</v>
      </c>
      <c r="H867" s="3">
        <v>0.01</v>
      </c>
      <c r="I867" s="3">
        <v>8.8000000000000007</v>
      </c>
      <c r="J867" s="3" t="s">
        <v>22</v>
      </c>
    </row>
    <row r="868" spans="1:10" x14ac:dyDescent="0.35">
      <c r="A868" s="3" t="s">
        <v>898</v>
      </c>
      <c r="B868" s="4">
        <v>43304</v>
      </c>
      <c r="C868" s="3" t="s">
        <v>34</v>
      </c>
      <c r="D868" s="3" t="s">
        <v>12</v>
      </c>
      <c r="E868" s="3">
        <v>8</v>
      </c>
      <c r="F868" s="3">
        <v>150</v>
      </c>
      <c r="G868" s="3">
        <v>1200</v>
      </c>
      <c r="H868" s="3">
        <v>0.09</v>
      </c>
      <c r="I868" s="3">
        <v>108</v>
      </c>
      <c r="J868" s="3" t="s">
        <v>25</v>
      </c>
    </row>
    <row r="869" spans="1:10" x14ac:dyDescent="0.35">
      <c r="A869" s="3" t="s">
        <v>899</v>
      </c>
      <c r="B869" s="4">
        <v>43304</v>
      </c>
      <c r="C869" s="3" t="s">
        <v>34</v>
      </c>
      <c r="D869" s="3" t="s">
        <v>12</v>
      </c>
      <c r="E869" s="3">
        <v>20</v>
      </c>
      <c r="F869" s="3">
        <v>150</v>
      </c>
      <c r="G869" s="3">
        <v>3000</v>
      </c>
      <c r="H869" s="3">
        <v>0.01</v>
      </c>
      <c r="I869" s="3">
        <v>30</v>
      </c>
      <c r="J869" s="3" t="s">
        <v>28</v>
      </c>
    </row>
    <row r="870" spans="1:10" x14ac:dyDescent="0.35">
      <c r="A870" s="3" t="s">
        <v>900</v>
      </c>
      <c r="B870" s="4">
        <v>43304</v>
      </c>
      <c r="C870" s="3" t="s">
        <v>19</v>
      </c>
      <c r="D870" s="3" t="s">
        <v>16</v>
      </c>
      <c r="E870" s="3">
        <v>22</v>
      </c>
      <c r="F870" s="3">
        <v>230</v>
      </c>
      <c r="G870" s="3">
        <v>5060</v>
      </c>
      <c r="H870" s="3">
        <v>0.11</v>
      </c>
      <c r="I870" s="3">
        <v>556.6</v>
      </c>
      <c r="J870" s="3" t="s">
        <v>32</v>
      </c>
    </row>
    <row r="871" spans="1:10" x14ac:dyDescent="0.35">
      <c r="A871" s="3" t="s">
        <v>901</v>
      </c>
      <c r="B871" s="4">
        <v>43304</v>
      </c>
      <c r="C871" s="3" t="s">
        <v>30</v>
      </c>
      <c r="D871" s="3" t="s">
        <v>24</v>
      </c>
      <c r="E871" s="3">
        <v>23</v>
      </c>
      <c r="F871" s="3">
        <v>16</v>
      </c>
      <c r="G871" s="3">
        <v>368</v>
      </c>
      <c r="H871" s="3">
        <v>0.11</v>
      </c>
      <c r="I871" s="3">
        <v>40.479999999999997</v>
      </c>
      <c r="J871" s="3" t="s">
        <v>35</v>
      </c>
    </row>
    <row r="872" spans="1:10" x14ac:dyDescent="0.35">
      <c r="A872" s="3" t="s">
        <v>902</v>
      </c>
      <c r="B872" s="4">
        <v>43304</v>
      </c>
      <c r="C872" s="3" t="s">
        <v>11</v>
      </c>
      <c r="D872" s="3" t="s">
        <v>12</v>
      </c>
      <c r="E872" s="3">
        <v>6</v>
      </c>
      <c r="F872" s="3">
        <v>80</v>
      </c>
      <c r="G872" s="3">
        <v>480</v>
      </c>
      <c r="H872" s="3">
        <v>0.01</v>
      </c>
      <c r="I872" s="3">
        <v>4.8</v>
      </c>
      <c r="J872" s="3" t="s">
        <v>37</v>
      </c>
    </row>
    <row r="873" spans="1:10" x14ac:dyDescent="0.35">
      <c r="A873" s="3" t="s">
        <v>903</v>
      </c>
      <c r="B873" s="4">
        <v>43304</v>
      </c>
      <c r="C873" s="3" t="s">
        <v>30</v>
      </c>
      <c r="D873" s="3" t="s">
        <v>12</v>
      </c>
      <c r="E873" s="3">
        <v>7</v>
      </c>
      <c r="F873" s="3">
        <v>16</v>
      </c>
      <c r="G873" s="3">
        <v>112</v>
      </c>
      <c r="H873" s="3">
        <v>0.12</v>
      </c>
      <c r="I873" s="3">
        <v>13.44</v>
      </c>
      <c r="J873" s="3" t="s">
        <v>39</v>
      </c>
    </row>
    <row r="874" spans="1:10" x14ac:dyDescent="0.35">
      <c r="A874" s="3" t="s">
        <v>904</v>
      </c>
      <c r="B874" s="4">
        <v>43304</v>
      </c>
      <c r="C874" s="3" t="s">
        <v>11</v>
      </c>
      <c r="D874" s="3" t="s">
        <v>16</v>
      </c>
      <c r="E874" s="3">
        <v>10</v>
      </c>
      <c r="F874" s="3">
        <v>80</v>
      </c>
      <c r="G874" s="3">
        <v>800</v>
      </c>
      <c r="H874" s="3">
        <v>0.11</v>
      </c>
      <c r="I874" s="3">
        <v>88</v>
      </c>
      <c r="J874" s="3" t="s">
        <v>41</v>
      </c>
    </row>
    <row r="875" spans="1:10" x14ac:dyDescent="0.35">
      <c r="A875" s="3" t="s">
        <v>905</v>
      </c>
      <c r="B875" s="4">
        <v>43304</v>
      </c>
      <c r="C875" s="3" t="s">
        <v>19</v>
      </c>
      <c r="D875" s="3" t="s">
        <v>12</v>
      </c>
      <c r="E875" s="3">
        <v>9</v>
      </c>
      <c r="F875" s="3">
        <v>230</v>
      </c>
      <c r="G875" s="3">
        <v>2070</v>
      </c>
      <c r="H875" s="3">
        <v>7.0000000000000007E-2</v>
      </c>
      <c r="I875" s="3">
        <v>144.9</v>
      </c>
      <c r="J875" s="3" t="s">
        <v>43</v>
      </c>
    </row>
    <row r="876" spans="1:10" x14ac:dyDescent="0.35">
      <c r="A876" s="3" t="s">
        <v>906</v>
      </c>
      <c r="B876" s="4">
        <v>43305</v>
      </c>
      <c r="C876" s="3" t="s">
        <v>15</v>
      </c>
      <c r="D876" s="3" t="s">
        <v>16</v>
      </c>
      <c r="E876" s="3">
        <v>12</v>
      </c>
      <c r="F876" s="3">
        <v>40</v>
      </c>
      <c r="G876" s="3">
        <v>480</v>
      </c>
      <c r="H876" s="3">
        <v>0.1</v>
      </c>
      <c r="I876" s="3">
        <v>48</v>
      </c>
      <c r="J876" s="3" t="s">
        <v>13</v>
      </c>
    </row>
    <row r="877" spans="1:10" x14ac:dyDescent="0.35">
      <c r="A877" s="3" t="s">
        <v>907</v>
      </c>
      <c r="B877" s="4">
        <v>43305</v>
      </c>
      <c r="C877" s="3" t="s">
        <v>30</v>
      </c>
      <c r="D877" s="3" t="s">
        <v>31</v>
      </c>
      <c r="E877" s="3">
        <v>17</v>
      </c>
      <c r="F877" s="3">
        <v>16</v>
      </c>
      <c r="G877" s="3">
        <v>272</v>
      </c>
      <c r="H877" s="3">
        <v>0.1</v>
      </c>
      <c r="I877" s="3">
        <v>27.200000000000003</v>
      </c>
      <c r="J877" s="3" t="s">
        <v>17</v>
      </c>
    </row>
    <row r="878" spans="1:10" x14ac:dyDescent="0.35">
      <c r="A878" s="3" t="s">
        <v>908</v>
      </c>
      <c r="B878" s="4">
        <v>43305</v>
      </c>
      <c r="C878" s="3" t="s">
        <v>34</v>
      </c>
      <c r="D878" s="3" t="s">
        <v>24</v>
      </c>
      <c r="E878" s="3">
        <v>22</v>
      </c>
      <c r="F878" s="3">
        <v>150</v>
      </c>
      <c r="G878" s="3">
        <v>3300</v>
      </c>
      <c r="H878" s="3">
        <v>0.04</v>
      </c>
      <c r="I878" s="3">
        <v>132</v>
      </c>
      <c r="J878" s="3" t="s">
        <v>20</v>
      </c>
    </row>
    <row r="879" spans="1:10" x14ac:dyDescent="0.35">
      <c r="A879" s="3" t="s">
        <v>909</v>
      </c>
      <c r="B879" s="4">
        <v>43305</v>
      </c>
      <c r="C879" s="3" t="s">
        <v>34</v>
      </c>
      <c r="D879" s="3" t="s">
        <v>24</v>
      </c>
      <c r="E879" s="3">
        <v>11</v>
      </c>
      <c r="F879" s="3">
        <v>150</v>
      </c>
      <c r="G879" s="3">
        <v>1650</v>
      </c>
      <c r="H879" s="3">
        <v>0.05</v>
      </c>
      <c r="I879" s="3">
        <v>82.5</v>
      </c>
      <c r="J879" s="3" t="s">
        <v>22</v>
      </c>
    </row>
    <row r="880" spans="1:10" x14ac:dyDescent="0.35">
      <c r="A880" s="3" t="s">
        <v>910</v>
      </c>
      <c r="B880" s="4">
        <v>43305</v>
      </c>
      <c r="C880" s="3" t="s">
        <v>11</v>
      </c>
      <c r="D880" s="3" t="s">
        <v>31</v>
      </c>
      <c r="E880" s="3">
        <v>9</v>
      </c>
      <c r="F880" s="3">
        <v>80</v>
      </c>
      <c r="G880" s="3">
        <v>720</v>
      </c>
      <c r="H880" s="3">
        <v>0.02</v>
      </c>
      <c r="I880" s="3">
        <v>14.4</v>
      </c>
      <c r="J880" s="3" t="s">
        <v>25</v>
      </c>
    </row>
    <row r="881" spans="1:10" x14ac:dyDescent="0.35">
      <c r="A881" s="3" t="s">
        <v>911</v>
      </c>
      <c r="B881" s="4">
        <v>43305</v>
      </c>
      <c r="C881" s="3" t="s">
        <v>11</v>
      </c>
      <c r="D881" s="3" t="s">
        <v>31</v>
      </c>
      <c r="E881" s="3">
        <v>13</v>
      </c>
      <c r="F881" s="3">
        <v>80</v>
      </c>
      <c r="G881" s="3">
        <v>1040</v>
      </c>
      <c r="H881" s="3">
        <v>0.05</v>
      </c>
      <c r="I881" s="3">
        <v>52</v>
      </c>
      <c r="J881" s="3" t="s">
        <v>28</v>
      </c>
    </row>
    <row r="882" spans="1:10" x14ac:dyDescent="0.35">
      <c r="A882" s="3" t="s">
        <v>912</v>
      </c>
      <c r="B882" s="4">
        <v>43305</v>
      </c>
      <c r="C882" s="3" t="s">
        <v>15</v>
      </c>
      <c r="D882" s="3" t="s">
        <v>31</v>
      </c>
      <c r="E882" s="3">
        <v>20</v>
      </c>
      <c r="F882" s="3">
        <v>40</v>
      </c>
      <c r="G882" s="3">
        <v>800</v>
      </c>
      <c r="H882" s="3">
        <v>0.1</v>
      </c>
      <c r="I882" s="3">
        <v>80</v>
      </c>
      <c r="J882" s="3" t="s">
        <v>17</v>
      </c>
    </row>
    <row r="883" spans="1:10" x14ac:dyDescent="0.35">
      <c r="A883" s="3" t="s">
        <v>913</v>
      </c>
      <c r="B883" s="4">
        <v>43305</v>
      </c>
      <c r="C883" s="3" t="s">
        <v>15</v>
      </c>
      <c r="D883" s="3" t="s">
        <v>16</v>
      </c>
      <c r="E883" s="3">
        <v>15</v>
      </c>
      <c r="F883" s="3">
        <v>40</v>
      </c>
      <c r="G883" s="3">
        <v>600</v>
      </c>
      <c r="H883" s="3">
        <v>0.02</v>
      </c>
      <c r="I883" s="3">
        <v>12</v>
      </c>
      <c r="J883" s="3" t="s">
        <v>20</v>
      </c>
    </row>
    <row r="884" spans="1:10" x14ac:dyDescent="0.35">
      <c r="A884" s="3" t="s">
        <v>914</v>
      </c>
      <c r="B884" s="4">
        <v>43306</v>
      </c>
      <c r="C884" s="3" t="s">
        <v>34</v>
      </c>
      <c r="D884" s="3" t="s">
        <v>31</v>
      </c>
      <c r="E884" s="3">
        <v>15</v>
      </c>
      <c r="F884" s="3">
        <v>150</v>
      </c>
      <c r="G884" s="3">
        <v>2250</v>
      </c>
      <c r="H884" s="3">
        <v>7.0000000000000007E-2</v>
      </c>
      <c r="I884" s="3">
        <v>157.50000000000003</v>
      </c>
      <c r="J884" s="3" t="s">
        <v>22</v>
      </c>
    </row>
    <row r="885" spans="1:10" x14ac:dyDescent="0.35">
      <c r="A885" s="3" t="s">
        <v>915</v>
      </c>
      <c r="B885" s="4">
        <v>43306</v>
      </c>
      <c r="C885" s="3" t="s">
        <v>11</v>
      </c>
      <c r="D885" s="3" t="s">
        <v>31</v>
      </c>
      <c r="E885" s="3">
        <v>16</v>
      </c>
      <c r="F885" s="3">
        <v>80</v>
      </c>
      <c r="G885" s="3">
        <v>1280</v>
      </c>
      <c r="H885" s="3">
        <v>0.09</v>
      </c>
      <c r="I885" s="3">
        <v>115.19999999999999</v>
      </c>
      <c r="J885" s="3" t="s">
        <v>25</v>
      </c>
    </row>
    <row r="886" spans="1:10" x14ac:dyDescent="0.35">
      <c r="A886" s="3" t="s">
        <v>916</v>
      </c>
      <c r="B886" s="4">
        <v>43306</v>
      </c>
      <c r="C886" s="3" t="s">
        <v>19</v>
      </c>
      <c r="D886" s="3" t="s">
        <v>12</v>
      </c>
      <c r="E886" s="3">
        <v>16</v>
      </c>
      <c r="F886" s="3">
        <v>230</v>
      </c>
      <c r="G886" s="3">
        <v>3680</v>
      </c>
      <c r="H886" s="3">
        <v>7.0000000000000007E-2</v>
      </c>
      <c r="I886" s="3">
        <v>257.60000000000002</v>
      </c>
      <c r="J886" s="3" t="s">
        <v>28</v>
      </c>
    </row>
    <row r="887" spans="1:10" x14ac:dyDescent="0.35">
      <c r="A887" s="3" t="s">
        <v>917</v>
      </c>
      <c r="B887" s="4">
        <v>43306</v>
      </c>
      <c r="C887" s="3" t="s">
        <v>11</v>
      </c>
      <c r="D887" s="3" t="s">
        <v>16</v>
      </c>
      <c r="E887" s="3">
        <v>14</v>
      </c>
      <c r="F887" s="3">
        <v>80</v>
      </c>
      <c r="G887" s="3">
        <v>1120</v>
      </c>
      <c r="H887" s="3">
        <v>0.11</v>
      </c>
      <c r="I887" s="3">
        <v>123.2</v>
      </c>
      <c r="J887" s="3" t="s">
        <v>32</v>
      </c>
    </row>
    <row r="888" spans="1:10" x14ac:dyDescent="0.35">
      <c r="A888" s="3" t="s">
        <v>918</v>
      </c>
      <c r="B888" s="4">
        <v>43306</v>
      </c>
      <c r="C888" s="3" t="s">
        <v>11</v>
      </c>
      <c r="D888" s="3" t="s">
        <v>31</v>
      </c>
      <c r="E888" s="3">
        <v>17</v>
      </c>
      <c r="F888" s="3">
        <v>80</v>
      </c>
      <c r="G888" s="3">
        <v>1360</v>
      </c>
      <c r="H888" s="3">
        <v>7.0000000000000007E-2</v>
      </c>
      <c r="I888" s="3">
        <v>95.2</v>
      </c>
      <c r="J888" s="3" t="s">
        <v>35</v>
      </c>
    </row>
    <row r="889" spans="1:10" x14ac:dyDescent="0.35">
      <c r="A889" s="3" t="s">
        <v>919</v>
      </c>
      <c r="B889" s="4">
        <v>43306</v>
      </c>
      <c r="C889" s="3" t="s">
        <v>11</v>
      </c>
      <c r="D889" s="3" t="s">
        <v>24</v>
      </c>
      <c r="E889" s="3">
        <v>16</v>
      </c>
      <c r="F889" s="3">
        <v>80</v>
      </c>
      <c r="G889" s="3">
        <v>1280</v>
      </c>
      <c r="H889" s="3">
        <v>0.02</v>
      </c>
      <c r="I889" s="3">
        <v>25.6</v>
      </c>
      <c r="J889" s="3" t="s">
        <v>37</v>
      </c>
    </row>
    <row r="890" spans="1:10" x14ac:dyDescent="0.35">
      <c r="A890" s="3" t="s">
        <v>920</v>
      </c>
      <c r="B890" s="4">
        <v>43306</v>
      </c>
      <c r="C890" s="3" t="s">
        <v>30</v>
      </c>
      <c r="D890" s="3" t="s">
        <v>12</v>
      </c>
      <c r="E890" s="3">
        <v>21</v>
      </c>
      <c r="F890" s="3">
        <v>16</v>
      </c>
      <c r="G890" s="3">
        <v>336</v>
      </c>
      <c r="H890" s="3">
        <v>0.09</v>
      </c>
      <c r="I890" s="3">
        <v>30.24</v>
      </c>
      <c r="J890" s="3" t="s">
        <v>39</v>
      </c>
    </row>
    <row r="891" spans="1:10" x14ac:dyDescent="0.35">
      <c r="A891" s="3" t="s">
        <v>921</v>
      </c>
      <c r="B891" s="4">
        <v>43306</v>
      </c>
      <c r="C891" s="3" t="s">
        <v>34</v>
      </c>
      <c r="D891" s="3" t="s">
        <v>12</v>
      </c>
      <c r="E891" s="3">
        <v>9</v>
      </c>
      <c r="F891" s="3">
        <v>150</v>
      </c>
      <c r="G891" s="3">
        <v>1350</v>
      </c>
      <c r="H891" s="3">
        <v>0.1</v>
      </c>
      <c r="I891" s="3">
        <v>135</v>
      </c>
      <c r="J891" s="3" t="s">
        <v>41</v>
      </c>
    </row>
    <row r="892" spans="1:10" x14ac:dyDescent="0.35">
      <c r="A892" s="3" t="s">
        <v>922</v>
      </c>
      <c r="B892" s="4">
        <v>43306</v>
      </c>
      <c r="C892" s="3" t="s">
        <v>34</v>
      </c>
      <c r="D892" s="3" t="s">
        <v>27</v>
      </c>
      <c r="E892" s="3">
        <v>3</v>
      </c>
      <c r="F892" s="3">
        <v>150</v>
      </c>
      <c r="G892" s="3">
        <v>450</v>
      </c>
      <c r="H892" s="3">
        <v>0.01</v>
      </c>
      <c r="I892" s="3">
        <v>4.5</v>
      </c>
      <c r="J892" s="3" t="s">
        <v>43</v>
      </c>
    </row>
    <row r="893" spans="1:10" x14ac:dyDescent="0.35">
      <c r="A893" s="3" t="s">
        <v>923</v>
      </c>
      <c r="B893" s="4">
        <v>43307</v>
      </c>
      <c r="C893" s="3" t="s">
        <v>11</v>
      </c>
      <c r="D893" s="3" t="s">
        <v>16</v>
      </c>
      <c r="E893" s="3">
        <v>14</v>
      </c>
      <c r="F893" s="3">
        <v>80</v>
      </c>
      <c r="G893" s="3">
        <v>1120</v>
      </c>
      <c r="H893" s="3">
        <v>0.06</v>
      </c>
      <c r="I893" s="3">
        <v>67.2</v>
      </c>
      <c r="J893" s="3" t="s">
        <v>13</v>
      </c>
    </row>
    <row r="894" spans="1:10" x14ac:dyDescent="0.35">
      <c r="A894" s="3" t="s">
        <v>924</v>
      </c>
      <c r="B894" s="4">
        <v>43307</v>
      </c>
      <c r="C894" s="3" t="s">
        <v>34</v>
      </c>
      <c r="D894" s="3" t="s">
        <v>31</v>
      </c>
      <c r="E894" s="3">
        <v>4</v>
      </c>
      <c r="F894" s="3">
        <v>150</v>
      </c>
      <c r="G894" s="3">
        <v>600</v>
      </c>
      <c r="H894" s="3">
        <v>0.05</v>
      </c>
      <c r="I894" s="3">
        <v>30</v>
      </c>
      <c r="J894" s="3" t="s">
        <v>17</v>
      </c>
    </row>
    <row r="895" spans="1:10" x14ac:dyDescent="0.35">
      <c r="A895" s="3" t="s">
        <v>925</v>
      </c>
      <c r="B895" s="4">
        <v>43307</v>
      </c>
      <c r="C895" s="3" t="s">
        <v>30</v>
      </c>
      <c r="D895" s="3" t="s">
        <v>16</v>
      </c>
      <c r="E895" s="3">
        <v>20</v>
      </c>
      <c r="F895" s="3">
        <v>16</v>
      </c>
      <c r="G895" s="3">
        <v>320</v>
      </c>
      <c r="H895" s="3">
        <v>0.06</v>
      </c>
      <c r="I895" s="3">
        <v>19.2</v>
      </c>
      <c r="J895" s="3" t="s">
        <v>20</v>
      </c>
    </row>
    <row r="896" spans="1:10" x14ac:dyDescent="0.35">
      <c r="A896" s="3" t="s">
        <v>926</v>
      </c>
      <c r="B896" s="4">
        <v>43307</v>
      </c>
      <c r="C896" s="3" t="s">
        <v>19</v>
      </c>
      <c r="D896" s="3" t="s">
        <v>24</v>
      </c>
      <c r="E896" s="3">
        <v>7</v>
      </c>
      <c r="F896" s="3">
        <v>230</v>
      </c>
      <c r="G896" s="3">
        <v>1610</v>
      </c>
      <c r="H896" s="3">
        <v>0.01</v>
      </c>
      <c r="I896" s="3">
        <v>16.100000000000001</v>
      </c>
      <c r="J896" s="3" t="s">
        <v>22</v>
      </c>
    </row>
    <row r="897" spans="1:10" x14ac:dyDescent="0.35">
      <c r="A897" s="3" t="s">
        <v>927</v>
      </c>
      <c r="B897" s="4">
        <v>43307</v>
      </c>
      <c r="C897" s="3" t="s">
        <v>11</v>
      </c>
      <c r="D897" s="3" t="s">
        <v>16</v>
      </c>
      <c r="E897" s="3">
        <v>9</v>
      </c>
      <c r="F897" s="3">
        <v>80</v>
      </c>
      <c r="G897" s="3">
        <v>720</v>
      </c>
      <c r="H897" s="3">
        <v>0.03</v>
      </c>
      <c r="I897" s="3">
        <v>21.599999999999998</v>
      </c>
      <c r="J897" s="3" t="s">
        <v>25</v>
      </c>
    </row>
    <row r="898" spans="1:10" x14ac:dyDescent="0.35">
      <c r="A898" s="3" t="s">
        <v>928</v>
      </c>
      <c r="B898" s="4">
        <v>43307</v>
      </c>
      <c r="C898" s="3" t="s">
        <v>15</v>
      </c>
      <c r="D898" s="3" t="s">
        <v>27</v>
      </c>
      <c r="E898" s="3">
        <v>4</v>
      </c>
      <c r="F898" s="3">
        <v>40</v>
      </c>
      <c r="G898" s="3">
        <v>160</v>
      </c>
      <c r="H898" s="3">
        <v>0.05</v>
      </c>
      <c r="I898" s="3">
        <v>8</v>
      </c>
      <c r="J898" s="3" t="s">
        <v>28</v>
      </c>
    </row>
    <row r="899" spans="1:10" x14ac:dyDescent="0.35">
      <c r="A899" s="3" t="s">
        <v>929</v>
      </c>
      <c r="B899" s="4">
        <v>43307</v>
      </c>
      <c r="C899" s="3" t="s">
        <v>11</v>
      </c>
      <c r="D899" s="3" t="s">
        <v>12</v>
      </c>
      <c r="E899" s="3">
        <v>6</v>
      </c>
      <c r="F899" s="3">
        <v>80</v>
      </c>
      <c r="G899" s="3">
        <v>480</v>
      </c>
      <c r="H899" s="3">
        <v>7.0000000000000007E-2</v>
      </c>
      <c r="I899" s="3">
        <v>33.6</v>
      </c>
      <c r="J899" s="3" t="s">
        <v>17</v>
      </c>
    </row>
    <row r="900" spans="1:10" x14ac:dyDescent="0.35">
      <c r="A900" s="3" t="s">
        <v>930</v>
      </c>
      <c r="B900" s="4">
        <v>43307</v>
      </c>
      <c r="C900" s="3" t="s">
        <v>30</v>
      </c>
      <c r="D900" s="3" t="s">
        <v>24</v>
      </c>
      <c r="E900" s="3">
        <v>8</v>
      </c>
      <c r="F900" s="3">
        <v>16</v>
      </c>
      <c r="G900" s="3">
        <v>128</v>
      </c>
      <c r="H900" s="3">
        <v>0.03</v>
      </c>
      <c r="I900" s="3">
        <v>3.84</v>
      </c>
      <c r="J900" s="3" t="s">
        <v>20</v>
      </c>
    </row>
    <row r="901" spans="1:10" x14ac:dyDescent="0.35">
      <c r="A901" s="3" t="s">
        <v>931</v>
      </c>
      <c r="B901" s="4">
        <v>43307</v>
      </c>
      <c r="C901" s="3" t="s">
        <v>30</v>
      </c>
      <c r="D901" s="3" t="s">
        <v>12</v>
      </c>
      <c r="E901" s="3">
        <v>10</v>
      </c>
      <c r="F901" s="3">
        <v>16</v>
      </c>
      <c r="G901" s="3">
        <v>160</v>
      </c>
      <c r="H901" s="3">
        <v>0.08</v>
      </c>
      <c r="I901" s="3">
        <v>12.8</v>
      </c>
      <c r="J901" s="3" t="s">
        <v>22</v>
      </c>
    </row>
    <row r="902" spans="1:10" x14ac:dyDescent="0.35">
      <c r="A902" s="3" t="s">
        <v>932</v>
      </c>
      <c r="B902" s="4">
        <v>43307</v>
      </c>
      <c r="C902" s="3" t="s">
        <v>30</v>
      </c>
      <c r="D902" s="3" t="s">
        <v>27</v>
      </c>
      <c r="E902" s="3">
        <v>22</v>
      </c>
      <c r="F902" s="3">
        <v>16</v>
      </c>
      <c r="G902" s="3">
        <v>352</v>
      </c>
      <c r="H902" s="3">
        <v>0.03</v>
      </c>
      <c r="I902" s="3">
        <v>10.559999999999999</v>
      </c>
      <c r="J902" s="3" t="s">
        <v>25</v>
      </c>
    </row>
    <row r="903" spans="1:10" x14ac:dyDescent="0.35">
      <c r="A903" s="3" t="s">
        <v>933</v>
      </c>
      <c r="B903" s="4">
        <v>43307</v>
      </c>
      <c r="C903" s="3" t="s">
        <v>11</v>
      </c>
      <c r="D903" s="3" t="s">
        <v>27</v>
      </c>
      <c r="E903" s="3">
        <v>11</v>
      </c>
      <c r="F903" s="3">
        <v>80</v>
      </c>
      <c r="G903" s="3">
        <v>880</v>
      </c>
      <c r="H903" s="3">
        <v>0.01</v>
      </c>
      <c r="I903" s="3">
        <v>8.8000000000000007</v>
      </c>
      <c r="J903" s="3" t="s">
        <v>28</v>
      </c>
    </row>
    <row r="904" spans="1:10" x14ac:dyDescent="0.35">
      <c r="A904" s="3" t="s">
        <v>934</v>
      </c>
      <c r="B904" s="4">
        <v>43307</v>
      </c>
      <c r="C904" s="3" t="s">
        <v>30</v>
      </c>
      <c r="D904" s="3" t="s">
        <v>27</v>
      </c>
      <c r="E904" s="3">
        <v>7</v>
      </c>
      <c r="F904" s="3">
        <v>16</v>
      </c>
      <c r="G904" s="3">
        <v>112</v>
      </c>
      <c r="H904" s="3">
        <v>0.08</v>
      </c>
      <c r="I904" s="3">
        <v>8.9600000000000009</v>
      </c>
      <c r="J904" s="3" t="s">
        <v>32</v>
      </c>
    </row>
    <row r="905" spans="1:10" x14ac:dyDescent="0.35">
      <c r="A905" s="3" t="s">
        <v>935</v>
      </c>
      <c r="B905" s="4">
        <v>43308</v>
      </c>
      <c r="C905" s="3" t="s">
        <v>30</v>
      </c>
      <c r="D905" s="3" t="s">
        <v>24</v>
      </c>
      <c r="E905" s="3">
        <v>11</v>
      </c>
      <c r="F905" s="3">
        <v>16</v>
      </c>
      <c r="G905" s="3">
        <v>176</v>
      </c>
      <c r="H905" s="3">
        <v>0.12</v>
      </c>
      <c r="I905" s="3">
        <v>21.119999999999997</v>
      </c>
      <c r="J905" s="3" t="s">
        <v>35</v>
      </c>
    </row>
    <row r="906" spans="1:10" x14ac:dyDescent="0.35">
      <c r="A906" s="3" t="s">
        <v>936</v>
      </c>
      <c r="B906" s="4">
        <v>43308</v>
      </c>
      <c r="C906" s="3" t="s">
        <v>15</v>
      </c>
      <c r="D906" s="3" t="s">
        <v>31</v>
      </c>
      <c r="E906" s="3">
        <v>7</v>
      </c>
      <c r="F906" s="3">
        <v>40</v>
      </c>
      <c r="G906" s="3">
        <v>280</v>
      </c>
      <c r="H906" s="3">
        <v>0.05</v>
      </c>
      <c r="I906" s="3">
        <v>14</v>
      </c>
      <c r="J906" s="3" t="s">
        <v>37</v>
      </c>
    </row>
    <row r="907" spans="1:10" x14ac:dyDescent="0.35">
      <c r="A907" s="3" t="s">
        <v>937</v>
      </c>
      <c r="B907" s="4">
        <v>43308</v>
      </c>
      <c r="C907" s="3" t="s">
        <v>34</v>
      </c>
      <c r="D907" s="3" t="s">
        <v>24</v>
      </c>
      <c r="E907" s="3">
        <v>9</v>
      </c>
      <c r="F907" s="3">
        <v>150</v>
      </c>
      <c r="G907" s="3">
        <v>1350</v>
      </c>
      <c r="H907" s="3">
        <v>0.06</v>
      </c>
      <c r="I907" s="3">
        <v>81</v>
      </c>
      <c r="J907" s="3" t="s">
        <v>39</v>
      </c>
    </row>
    <row r="908" spans="1:10" x14ac:dyDescent="0.35">
      <c r="A908" s="3" t="s">
        <v>938</v>
      </c>
      <c r="B908" s="4">
        <v>43308</v>
      </c>
      <c r="C908" s="3" t="s">
        <v>19</v>
      </c>
      <c r="D908" s="3" t="s">
        <v>12</v>
      </c>
      <c r="E908" s="3">
        <v>20</v>
      </c>
      <c r="F908" s="3">
        <v>230</v>
      </c>
      <c r="G908" s="3">
        <v>4600</v>
      </c>
      <c r="H908" s="3">
        <v>0.04</v>
      </c>
      <c r="I908" s="3">
        <v>184</v>
      </c>
      <c r="J908" s="3" t="s">
        <v>41</v>
      </c>
    </row>
    <row r="909" spans="1:10" x14ac:dyDescent="0.35">
      <c r="A909" s="3" t="s">
        <v>939</v>
      </c>
      <c r="B909" s="4">
        <v>43308</v>
      </c>
      <c r="C909" s="3" t="s">
        <v>34</v>
      </c>
      <c r="D909" s="3" t="s">
        <v>24</v>
      </c>
      <c r="E909" s="3">
        <v>9</v>
      </c>
      <c r="F909" s="3">
        <v>150</v>
      </c>
      <c r="G909" s="3">
        <v>1350</v>
      </c>
      <c r="H909" s="3">
        <v>0.02</v>
      </c>
      <c r="I909" s="3">
        <v>27</v>
      </c>
      <c r="J909" s="3" t="s">
        <v>43</v>
      </c>
    </row>
    <row r="910" spans="1:10" x14ac:dyDescent="0.35">
      <c r="A910" s="3" t="s">
        <v>940</v>
      </c>
      <c r="B910" s="4">
        <v>43308</v>
      </c>
      <c r="C910" s="3" t="s">
        <v>11</v>
      </c>
      <c r="D910" s="3" t="s">
        <v>16</v>
      </c>
      <c r="E910" s="3">
        <v>5</v>
      </c>
      <c r="F910" s="3">
        <v>80</v>
      </c>
      <c r="G910" s="3">
        <v>400</v>
      </c>
      <c r="H910" s="3">
        <v>7.0000000000000007E-2</v>
      </c>
      <c r="I910" s="3">
        <v>28.000000000000004</v>
      </c>
      <c r="J910" s="3" t="s">
        <v>13</v>
      </c>
    </row>
    <row r="911" spans="1:10" x14ac:dyDescent="0.35">
      <c r="A911" s="3" t="s">
        <v>941</v>
      </c>
      <c r="B911" s="4">
        <v>43308</v>
      </c>
      <c r="C911" s="3" t="s">
        <v>34</v>
      </c>
      <c r="D911" s="3" t="s">
        <v>24</v>
      </c>
      <c r="E911" s="3">
        <v>20</v>
      </c>
      <c r="F911" s="3">
        <v>150</v>
      </c>
      <c r="G911" s="3">
        <v>3000</v>
      </c>
      <c r="H911" s="3">
        <v>0.04</v>
      </c>
      <c r="I911" s="3">
        <v>120</v>
      </c>
      <c r="J911" s="3" t="s">
        <v>17</v>
      </c>
    </row>
    <row r="912" spans="1:10" x14ac:dyDescent="0.35">
      <c r="A912" s="3" t="s">
        <v>942</v>
      </c>
      <c r="B912" s="4">
        <v>43308</v>
      </c>
      <c r="C912" s="3" t="s">
        <v>34</v>
      </c>
      <c r="D912" s="3" t="s">
        <v>27</v>
      </c>
      <c r="E912" s="3">
        <v>15</v>
      </c>
      <c r="F912" s="3">
        <v>150</v>
      </c>
      <c r="G912" s="3">
        <v>2250</v>
      </c>
      <c r="H912" s="3">
        <v>0.05</v>
      </c>
      <c r="I912" s="3">
        <v>112.5</v>
      </c>
      <c r="J912" s="3" t="s">
        <v>20</v>
      </c>
    </row>
    <row r="913" spans="1:10" x14ac:dyDescent="0.35">
      <c r="A913" s="3" t="s">
        <v>943</v>
      </c>
      <c r="B913" s="4">
        <v>43308</v>
      </c>
      <c r="C913" s="3" t="s">
        <v>11</v>
      </c>
      <c r="D913" s="3" t="s">
        <v>12</v>
      </c>
      <c r="E913" s="3">
        <v>20</v>
      </c>
      <c r="F913" s="3">
        <v>80</v>
      </c>
      <c r="G913" s="3">
        <v>1600</v>
      </c>
      <c r="H913" s="3">
        <v>0.01</v>
      </c>
      <c r="I913" s="3">
        <v>16</v>
      </c>
      <c r="J913" s="3" t="s">
        <v>22</v>
      </c>
    </row>
    <row r="914" spans="1:10" x14ac:dyDescent="0.35">
      <c r="A914" s="3" t="s">
        <v>944</v>
      </c>
      <c r="B914" s="4">
        <v>43309</v>
      </c>
      <c r="C914" s="3" t="s">
        <v>19</v>
      </c>
      <c r="D914" s="3" t="s">
        <v>16</v>
      </c>
      <c r="E914" s="3">
        <v>12</v>
      </c>
      <c r="F914" s="3">
        <v>230</v>
      </c>
      <c r="G914" s="3">
        <v>2760</v>
      </c>
      <c r="H914" s="3">
        <v>0.03</v>
      </c>
      <c r="I914" s="3">
        <v>82.8</v>
      </c>
      <c r="J914" s="3" t="s">
        <v>25</v>
      </c>
    </row>
    <row r="915" spans="1:10" x14ac:dyDescent="0.35">
      <c r="A915" s="3" t="s">
        <v>945</v>
      </c>
      <c r="B915" s="4">
        <v>43309</v>
      </c>
      <c r="C915" s="3" t="s">
        <v>15</v>
      </c>
      <c r="D915" s="3" t="s">
        <v>31</v>
      </c>
      <c r="E915" s="3">
        <v>20</v>
      </c>
      <c r="F915" s="3">
        <v>40</v>
      </c>
      <c r="G915" s="3">
        <v>800</v>
      </c>
      <c r="H915" s="3">
        <v>0.05</v>
      </c>
      <c r="I915" s="3">
        <v>40</v>
      </c>
      <c r="J915" s="3" t="s">
        <v>28</v>
      </c>
    </row>
    <row r="916" spans="1:10" x14ac:dyDescent="0.35">
      <c r="A916" s="3" t="s">
        <v>946</v>
      </c>
      <c r="B916" s="4">
        <v>43309</v>
      </c>
      <c r="C916" s="3" t="s">
        <v>15</v>
      </c>
      <c r="D916" s="3" t="s">
        <v>31</v>
      </c>
      <c r="E916" s="3">
        <v>4</v>
      </c>
      <c r="F916" s="3">
        <v>40</v>
      </c>
      <c r="G916" s="3">
        <v>160</v>
      </c>
      <c r="H916" s="3">
        <v>0.09</v>
      </c>
      <c r="I916" s="3">
        <v>14.399999999999999</v>
      </c>
      <c r="J916" s="3" t="s">
        <v>17</v>
      </c>
    </row>
    <row r="917" spans="1:10" x14ac:dyDescent="0.35">
      <c r="A917" s="3" t="s">
        <v>947</v>
      </c>
      <c r="B917" s="4">
        <v>43309</v>
      </c>
      <c r="C917" s="3" t="s">
        <v>30</v>
      </c>
      <c r="D917" s="3" t="s">
        <v>24</v>
      </c>
      <c r="E917" s="3">
        <v>6</v>
      </c>
      <c r="F917" s="3">
        <v>16</v>
      </c>
      <c r="G917" s="3">
        <v>96</v>
      </c>
      <c r="H917" s="3">
        <v>7.0000000000000007E-2</v>
      </c>
      <c r="I917" s="3">
        <v>6.7200000000000006</v>
      </c>
      <c r="J917" s="3" t="s">
        <v>20</v>
      </c>
    </row>
    <row r="918" spans="1:10" x14ac:dyDescent="0.35">
      <c r="A918" s="3" t="s">
        <v>948</v>
      </c>
      <c r="B918" s="4">
        <v>43309</v>
      </c>
      <c r="C918" s="3" t="s">
        <v>11</v>
      </c>
      <c r="D918" s="3" t="s">
        <v>16</v>
      </c>
      <c r="E918" s="3">
        <v>13</v>
      </c>
      <c r="F918" s="3">
        <v>80</v>
      </c>
      <c r="G918" s="3">
        <v>1040</v>
      </c>
      <c r="H918" s="3">
        <v>0.06</v>
      </c>
      <c r="I918" s="3">
        <v>62.4</v>
      </c>
      <c r="J918" s="3" t="s">
        <v>22</v>
      </c>
    </row>
    <row r="919" spans="1:10" x14ac:dyDescent="0.35">
      <c r="A919" s="3" t="s">
        <v>949</v>
      </c>
      <c r="B919" s="4">
        <v>43309</v>
      </c>
      <c r="C919" s="3" t="s">
        <v>34</v>
      </c>
      <c r="D919" s="3" t="s">
        <v>12</v>
      </c>
      <c r="E919" s="3">
        <v>4</v>
      </c>
      <c r="F919" s="3">
        <v>150</v>
      </c>
      <c r="G919" s="3">
        <v>600</v>
      </c>
      <c r="H919" s="3">
        <v>0.1</v>
      </c>
      <c r="I919" s="3">
        <v>60</v>
      </c>
      <c r="J919" s="3" t="s">
        <v>25</v>
      </c>
    </row>
    <row r="920" spans="1:10" x14ac:dyDescent="0.35">
      <c r="A920" s="3" t="s">
        <v>950</v>
      </c>
      <c r="B920" s="4">
        <v>43309</v>
      </c>
      <c r="C920" s="3" t="s">
        <v>34</v>
      </c>
      <c r="D920" s="3" t="s">
        <v>27</v>
      </c>
      <c r="E920" s="3">
        <v>9</v>
      </c>
      <c r="F920" s="3">
        <v>150</v>
      </c>
      <c r="G920" s="3">
        <v>1350</v>
      </c>
      <c r="H920" s="3">
        <v>0.02</v>
      </c>
      <c r="I920" s="3">
        <v>27</v>
      </c>
      <c r="J920" s="3" t="s">
        <v>28</v>
      </c>
    </row>
    <row r="921" spans="1:10" x14ac:dyDescent="0.35">
      <c r="A921" s="3" t="s">
        <v>951</v>
      </c>
      <c r="B921" s="4">
        <v>43309</v>
      </c>
      <c r="C921" s="3" t="s">
        <v>34</v>
      </c>
      <c r="D921" s="3" t="s">
        <v>12</v>
      </c>
      <c r="E921" s="3">
        <v>11</v>
      </c>
      <c r="F921" s="3">
        <v>150</v>
      </c>
      <c r="G921" s="3">
        <v>1650</v>
      </c>
      <c r="H921" s="3">
        <v>0.05</v>
      </c>
      <c r="I921" s="3">
        <v>82.5</v>
      </c>
      <c r="J921" s="3" t="s">
        <v>32</v>
      </c>
    </row>
    <row r="922" spans="1:10" x14ac:dyDescent="0.35">
      <c r="A922" s="3" t="s">
        <v>952</v>
      </c>
      <c r="B922" s="4">
        <v>43309</v>
      </c>
      <c r="C922" s="3" t="s">
        <v>30</v>
      </c>
      <c r="D922" s="3" t="s">
        <v>24</v>
      </c>
      <c r="E922" s="3">
        <v>6</v>
      </c>
      <c r="F922" s="3">
        <v>16</v>
      </c>
      <c r="G922" s="3">
        <v>96</v>
      </c>
      <c r="H922" s="3">
        <v>0.06</v>
      </c>
      <c r="I922" s="3">
        <v>5.76</v>
      </c>
      <c r="J922" s="3" t="s">
        <v>35</v>
      </c>
    </row>
    <row r="923" spans="1:10" x14ac:dyDescent="0.35">
      <c r="A923" s="3" t="s">
        <v>953</v>
      </c>
      <c r="B923" s="4">
        <v>43310</v>
      </c>
      <c r="C923" s="3" t="s">
        <v>19</v>
      </c>
      <c r="D923" s="3" t="s">
        <v>24</v>
      </c>
      <c r="E923" s="3">
        <v>14</v>
      </c>
      <c r="F923" s="3">
        <v>230</v>
      </c>
      <c r="G923" s="3">
        <v>3220</v>
      </c>
      <c r="H923" s="3">
        <v>0.12</v>
      </c>
      <c r="I923" s="3">
        <v>386.4</v>
      </c>
      <c r="J923" s="3" t="s">
        <v>37</v>
      </c>
    </row>
    <row r="924" spans="1:10" x14ac:dyDescent="0.35">
      <c r="A924" s="3" t="s">
        <v>954</v>
      </c>
      <c r="B924" s="4">
        <v>43310</v>
      </c>
      <c r="C924" s="3" t="s">
        <v>11</v>
      </c>
      <c r="D924" s="3" t="s">
        <v>16</v>
      </c>
      <c r="E924" s="3">
        <v>15</v>
      </c>
      <c r="F924" s="3">
        <v>80</v>
      </c>
      <c r="G924" s="3">
        <v>1200</v>
      </c>
      <c r="H924" s="3">
        <v>0.12</v>
      </c>
      <c r="I924" s="3">
        <v>144</v>
      </c>
      <c r="J924" s="3" t="s">
        <v>39</v>
      </c>
    </row>
    <row r="925" spans="1:10" x14ac:dyDescent="0.35">
      <c r="A925" s="3" t="s">
        <v>955</v>
      </c>
      <c r="B925" s="4">
        <v>43310</v>
      </c>
      <c r="C925" s="3" t="s">
        <v>19</v>
      </c>
      <c r="D925" s="3" t="s">
        <v>27</v>
      </c>
      <c r="E925" s="3">
        <v>17</v>
      </c>
      <c r="F925" s="3">
        <v>230</v>
      </c>
      <c r="G925" s="3">
        <v>3910</v>
      </c>
      <c r="H925" s="3">
        <v>0.12</v>
      </c>
      <c r="I925" s="3">
        <v>469.2</v>
      </c>
      <c r="J925" s="3" t="s">
        <v>41</v>
      </c>
    </row>
    <row r="926" spans="1:10" x14ac:dyDescent="0.35">
      <c r="A926" s="3" t="s">
        <v>956</v>
      </c>
      <c r="B926" s="4">
        <v>43310</v>
      </c>
      <c r="C926" s="3" t="s">
        <v>34</v>
      </c>
      <c r="D926" s="3" t="s">
        <v>12</v>
      </c>
      <c r="E926" s="3">
        <v>5</v>
      </c>
      <c r="F926" s="3">
        <v>150</v>
      </c>
      <c r="G926" s="3">
        <v>750</v>
      </c>
      <c r="H926" s="3">
        <v>0.11</v>
      </c>
      <c r="I926" s="3">
        <v>82.5</v>
      </c>
      <c r="J926" s="3" t="s">
        <v>43</v>
      </c>
    </row>
    <row r="927" spans="1:10" x14ac:dyDescent="0.35">
      <c r="A927" s="3" t="s">
        <v>957</v>
      </c>
      <c r="B927" s="4">
        <v>43310</v>
      </c>
      <c r="C927" s="3" t="s">
        <v>11</v>
      </c>
      <c r="D927" s="3" t="s">
        <v>31</v>
      </c>
      <c r="E927" s="3">
        <v>10</v>
      </c>
      <c r="F927" s="3">
        <v>80</v>
      </c>
      <c r="G927" s="3">
        <v>800</v>
      </c>
      <c r="H927" s="3">
        <v>0.06</v>
      </c>
      <c r="I927" s="3">
        <v>48</v>
      </c>
      <c r="J927" s="3" t="s">
        <v>13</v>
      </c>
    </row>
    <row r="928" spans="1:10" x14ac:dyDescent="0.35">
      <c r="A928" s="3" t="s">
        <v>958</v>
      </c>
      <c r="B928" s="4">
        <v>43310</v>
      </c>
      <c r="C928" s="3" t="s">
        <v>11</v>
      </c>
      <c r="D928" s="3" t="s">
        <v>12</v>
      </c>
      <c r="E928" s="3">
        <v>9</v>
      </c>
      <c r="F928" s="3">
        <v>80</v>
      </c>
      <c r="G928" s="3">
        <v>720</v>
      </c>
      <c r="H928" s="3">
        <v>0.04</v>
      </c>
      <c r="I928" s="3">
        <v>28.8</v>
      </c>
      <c r="J928" s="3" t="s">
        <v>17</v>
      </c>
    </row>
    <row r="929" spans="1:10" x14ac:dyDescent="0.35">
      <c r="A929" s="3" t="s">
        <v>959</v>
      </c>
      <c r="B929" s="4">
        <v>43310</v>
      </c>
      <c r="C929" s="3" t="s">
        <v>15</v>
      </c>
      <c r="D929" s="3" t="s">
        <v>31</v>
      </c>
      <c r="E929" s="3">
        <v>16</v>
      </c>
      <c r="F929" s="3">
        <v>40</v>
      </c>
      <c r="G929" s="3">
        <v>640</v>
      </c>
      <c r="H929" s="3">
        <v>0.09</v>
      </c>
      <c r="I929" s="3">
        <v>57.599999999999994</v>
      </c>
      <c r="J929" s="3" t="s">
        <v>20</v>
      </c>
    </row>
    <row r="930" spans="1:10" x14ac:dyDescent="0.35">
      <c r="A930" s="3" t="s">
        <v>960</v>
      </c>
      <c r="B930" s="4">
        <v>43310</v>
      </c>
      <c r="C930" s="3" t="s">
        <v>19</v>
      </c>
      <c r="D930" s="3" t="s">
        <v>12</v>
      </c>
      <c r="E930" s="3">
        <v>7</v>
      </c>
      <c r="F930" s="3">
        <v>230</v>
      </c>
      <c r="G930" s="3">
        <v>1610</v>
      </c>
      <c r="H930" s="3">
        <v>0.08</v>
      </c>
      <c r="I930" s="3">
        <v>128.80000000000001</v>
      </c>
      <c r="J930" s="3" t="s">
        <v>22</v>
      </c>
    </row>
    <row r="931" spans="1:10" x14ac:dyDescent="0.35">
      <c r="A931" s="3" t="s">
        <v>961</v>
      </c>
      <c r="B931" s="4">
        <v>43310</v>
      </c>
      <c r="C931" s="3" t="s">
        <v>11</v>
      </c>
      <c r="D931" s="3" t="s">
        <v>27</v>
      </c>
      <c r="E931" s="3">
        <v>17</v>
      </c>
      <c r="F931" s="3">
        <v>80</v>
      </c>
      <c r="G931" s="3">
        <v>1360</v>
      </c>
      <c r="H931" s="3">
        <v>0.05</v>
      </c>
      <c r="I931" s="3">
        <v>68</v>
      </c>
      <c r="J931" s="3" t="s">
        <v>25</v>
      </c>
    </row>
    <row r="932" spans="1:10" x14ac:dyDescent="0.35">
      <c r="A932" s="3" t="s">
        <v>962</v>
      </c>
      <c r="B932" s="4">
        <v>43310</v>
      </c>
      <c r="C932" s="3" t="s">
        <v>19</v>
      </c>
      <c r="D932" s="3" t="s">
        <v>12</v>
      </c>
      <c r="E932" s="3">
        <v>11</v>
      </c>
      <c r="F932" s="3">
        <v>230</v>
      </c>
      <c r="G932" s="3">
        <v>2530</v>
      </c>
      <c r="H932" s="3">
        <v>0.02</v>
      </c>
      <c r="I932" s="3">
        <v>50.6</v>
      </c>
      <c r="J932" s="3" t="s">
        <v>28</v>
      </c>
    </row>
    <row r="933" spans="1:10" x14ac:dyDescent="0.35">
      <c r="A933" s="3" t="s">
        <v>963</v>
      </c>
      <c r="B933" s="4">
        <v>43311</v>
      </c>
      <c r="C933" s="3" t="s">
        <v>15</v>
      </c>
      <c r="D933" s="3" t="s">
        <v>12</v>
      </c>
      <c r="E933" s="3">
        <v>15</v>
      </c>
      <c r="F933" s="3">
        <v>40</v>
      </c>
      <c r="G933" s="3">
        <v>600</v>
      </c>
      <c r="H933" s="3">
        <v>0.06</v>
      </c>
      <c r="I933" s="3">
        <v>36</v>
      </c>
      <c r="J933" s="3" t="s">
        <v>17</v>
      </c>
    </row>
    <row r="934" spans="1:10" x14ac:dyDescent="0.35">
      <c r="A934" s="3" t="s">
        <v>964</v>
      </c>
      <c r="B934" s="4">
        <v>43312</v>
      </c>
      <c r="C934" s="3" t="s">
        <v>19</v>
      </c>
      <c r="D934" s="3" t="s">
        <v>12</v>
      </c>
      <c r="E934" s="3">
        <v>7</v>
      </c>
      <c r="F934" s="3">
        <v>230</v>
      </c>
      <c r="G934" s="3">
        <v>1610</v>
      </c>
      <c r="H934" s="3">
        <v>0.02</v>
      </c>
      <c r="I934" s="3">
        <v>32.200000000000003</v>
      </c>
      <c r="J934" s="3" t="s">
        <v>20</v>
      </c>
    </row>
    <row r="935" spans="1:10" x14ac:dyDescent="0.35">
      <c r="A935" s="3" t="s">
        <v>965</v>
      </c>
      <c r="B935" s="4">
        <v>43312</v>
      </c>
      <c r="C935" s="3" t="s">
        <v>11</v>
      </c>
      <c r="D935" s="3" t="s">
        <v>24</v>
      </c>
      <c r="E935" s="3">
        <v>20</v>
      </c>
      <c r="F935" s="3">
        <v>80</v>
      </c>
      <c r="G935" s="3">
        <v>1600</v>
      </c>
      <c r="H935" s="3">
        <v>7.0000000000000007E-2</v>
      </c>
      <c r="I935" s="3">
        <v>112.00000000000001</v>
      </c>
      <c r="J935" s="3" t="s">
        <v>22</v>
      </c>
    </row>
    <row r="936" spans="1:10" x14ac:dyDescent="0.35">
      <c r="A936" s="3" t="s">
        <v>966</v>
      </c>
      <c r="B936" s="4">
        <v>43312</v>
      </c>
      <c r="C936" s="3" t="s">
        <v>11</v>
      </c>
      <c r="D936" s="3" t="s">
        <v>16</v>
      </c>
      <c r="E936" s="3">
        <v>3</v>
      </c>
      <c r="F936" s="3">
        <v>80</v>
      </c>
      <c r="G936" s="3">
        <v>240</v>
      </c>
      <c r="H936" s="3">
        <v>0.02</v>
      </c>
      <c r="I936" s="3">
        <v>4.8</v>
      </c>
      <c r="J936" s="3" t="s">
        <v>25</v>
      </c>
    </row>
    <row r="937" spans="1:10" x14ac:dyDescent="0.35">
      <c r="A937" s="3" t="s">
        <v>967</v>
      </c>
      <c r="B937" s="4">
        <v>43312</v>
      </c>
      <c r="C937" s="3" t="s">
        <v>34</v>
      </c>
      <c r="D937" s="3" t="s">
        <v>24</v>
      </c>
      <c r="E937" s="3">
        <v>2</v>
      </c>
      <c r="F937" s="3">
        <v>150</v>
      </c>
      <c r="G937" s="3">
        <v>300</v>
      </c>
      <c r="H937" s="3">
        <v>0.02</v>
      </c>
      <c r="I937" s="3">
        <v>6</v>
      </c>
      <c r="J937" s="3" t="s">
        <v>28</v>
      </c>
    </row>
    <row r="938" spans="1:10" x14ac:dyDescent="0.35">
      <c r="A938" s="3" t="s">
        <v>968</v>
      </c>
      <c r="B938" s="4">
        <v>43312</v>
      </c>
      <c r="C938" s="3" t="s">
        <v>34</v>
      </c>
      <c r="D938" s="3" t="s">
        <v>24</v>
      </c>
      <c r="E938" s="3">
        <v>22</v>
      </c>
      <c r="F938" s="3">
        <v>150</v>
      </c>
      <c r="G938" s="3">
        <v>3300</v>
      </c>
      <c r="H938" s="3">
        <v>0.09</v>
      </c>
      <c r="I938" s="3">
        <v>297</v>
      </c>
      <c r="J938" s="3" t="s">
        <v>32</v>
      </c>
    </row>
    <row r="939" spans="1:10" x14ac:dyDescent="0.35">
      <c r="A939" s="3" t="s">
        <v>969</v>
      </c>
      <c r="B939" s="4">
        <v>43312</v>
      </c>
      <c r="C939" s="3" t="s">
        <v>19</v>
      </c>
      <c r="D939" s="3" t="s">
        <v>12</v>
      </c>
      <c r="E939" s="3">
        <v>5</v>
      </c>
      <c r="F939" s="3">
        <v>230</v>
      </c>
      <c r="G939" s="3">
        <v>1150</v>
      </c>
      <c r="H939" s="3">
        <v>0.1</v>
      </c>
      <c r="I939" s="3">
        <v>115</v>
      </c>
      <c r="J939" s="3" t="s">
        <v>35</v>
      </c>
    </row>
    <row r="940" spans="1:10" x14ac:dyDescent="0.35">
      <c r="A940" s="3" t="s">
        <v>970</v>
      </c>
      <c r="B940" s="4">
        <v>43312</v>
      </c>
      <c r="C940" s="3" t="s">
        <v>30</v>
      </c>
      <c r="D940" s="3" t="s">
        <v>31</v>
      </c>
      <c r="E940" s="3">
        <v>12</v>
      </c>
      <c r="F940" s="3">
        <v>16</v>
      </c>
      <c r="G940" s="3">
        <v>192</v>
      </c>
      <c r="H940" s="3">
        <v>0.04</v>
      </c>
      <c r="I940" s="3">
        <v>7.68</v>
      </c>
      <c r="J940" s="3" t="s">
        <v>37</v>
      </c>
    </row>
    <row r="941" spans="1:10" x14ac:dyDescent="0.35">
      <c r="A941" s="3" t="s">
        <v>971</v>
      </c>
      <c r="B941" s="4">
        <v>43312</v>
      </c>
      <c r="C941" s="3" t="s">
        <v>15</v>
      </c>
      <c r="D941" s="3" t="s">
        <v>27</v>
      </c>
      <c r="E941" s="3">
        <v>6</v>
      </c>
      <c r="F941" s="3">
        <v>40</v>
      </c>
      <c r="G941" s="3">
        <v>240</v>
      </c>
      <c r="H941" s="3">
        <v>7.0000000000000007E-2</v>
      </c>
      <c r="I941" s="3">
        <v>16.8</v>
      </c>
      <c r="J941" s="3" t="s">
        <v>39</v>
      </c>
    </row>
    <row r="942" spans="1:10" x14ac:dyDescent="0.35">
      <c r="A942" s="3" t="s">
        <v>972</v>
      </c>
      <c r="B942" s="4">
        <v>43312</v>
      </c>
      <c r="C942" s="3" t="s">
        <v>30</v>
      </c>
      <c r="D942" s="3" t="s">
        <v>31</v>
      </c>
      <c r="E942" s="3">
        <v>15</v>
      </c>
      <c r="F942" s="3">
        <v>16</v>
      </c>
      <c r="G942" s="3">
        <v>240</v>
      </c>
      <c r="H942" s="3">
        <v>0.01</v>
      </c>
      <c r="I942" s="3">
        <v>2.4</v>
      </c>
      <c r="J942" s="3" t="s">
        <v>41</v>
      </c>
    </row>
    <row r="943" spans="1:10" x14ac:dyDescent="0.35">
      <c r="A943" s="3" t="s">
        <v>973</v>
      </c>
      <c r="B943" s="4">
        <v>43282</v>
      </c>
      <c r="C943" s="3" t="s">
        <v>34</v>
      </c>
      <c r="D943" s="3" t="s">
        <v>31</v>
      </c>
      <c r="E943" s="3">
        <v>13</v>
      </c>
      <c r="F943" s="3">
        <v>150</v>
      </c>
      <c r="G943" s="3">
        <v>1950</v>
      </c>
      <c r="H943" s="3">
        <v>0.11</v>
      </c>
      <c r="I943" s="3">
        <v>214.5</v>
      </c>
      <c r="J943" s="3" t="s">
        <v>43</v>
      </c>
    </row>
    <row r="944" spans="1:10" x14ac:dyDescent="0.35">
      <c r="A944" s="3" t="s">
        <v>974</v>
      </c>
      <c r="B944" s="4">
        <v>43282</v>
      </c>
      <c r="C944" s="3" t="s">
        <v>15</v>
      </c>
      <c r="D944" s="3" t="s">
        <v>16</v>
      </c>
      <c r="E944" s="3">
        <v>8</v>
      </c>
      <c r="F944" s="3">
        <v>40</v>
      </c>
      <c r="G944" s="3">
        <v>320</v>
      </c>
      <c r="H944" s="3">
        <v>0.09</v>
      </c>
      <c r="I944" s="3">
        <v>28.799999999999997</v>
      </c>
      <c r="J944" s="3" t="s">
        <v>13</v>
      </c>
    </row>
    <row r="945" spans="1:10" x14ac:dyDescent="0.35">
      <c r="A945" s="3" t="s">
        <v>975</v>
      </c>
      <c r="B945" s="4">
        <v>43282</v>
      </c>
      <c r="C945" s="3" t="s">
        <v>15</v>
      </c>
      <c r="D945" s="3" t="s">
        <v>27</v>
      </c>
      <c r="E945" s="3">
        <v>7</v>
      </c>
      <c r="F945" s="3">
        <v>40</v>
      </c>
      <c r="G945" s="3">
        <v>280</v>
      </c>
      <c r="H945" s="3">
        <v>7.0000000000000007E-2</v>
      </c>
      <c r="I945" s="3">
        <v>19.600000000000001</v>
      </c>
      <c r="J945" s="3" t="s">
        <v>17</v>
      </c>
    </row>
    <row r="946" spans="1:10" x14ac:dyDescent="0.35">
      <c r="A946" s="3" t="s">
        <v>976</v>
      </c>
      <c r="B946" s="4">
        <v>43282</v>
      </c>
      <c r="C946" s="3" t="s">
        <v>15</v>
      </c>
      <c r="D946" s="3" t="s">
        <v>16</v>
      </c>
      <c r="E946" s="3">
        <v>18</v>
      </c>
      <c r="F946" s="3">
        <v>40</v>
      </c>
      <c r="G946" s="3">
        <v>720</v>
      </c>
      <c r="H946" s="3">
        <v>0.08</v>
      </c>
      <c r="I946" s="3">
        <v>57.6</v>
      </c>
      <c r="J946" s="3" t="s">
        <v>20</v>
      </c>
    </row>
    <row r="947" spans="1:10" x14ac:dyDescent="0.35">
      <c r="A947" s="3" t="s">
        <v>977</v>
      </c>
      <c r="B947" s="4">
        <v>43282</v>
      </c>
      <c r="C947" s="3" t="s">
        <v>19</v>
      </c>
      <c r="D947" s="3" t="s">
        <v>27</v>
      </c>
      <c r="E947" s="3">
        <v>19</v>
      </c>
      <c r="F947" s="3">
        <v>230</v>
      </c>
      <c r="G947" s="3">
        <v>4370</v>
      </c>
      <c r="H947" s="3">
        <v>0.06</v>
      </c>
      <c r="I947" s="3">
        <v>262.2</v>
      </c>
      <c r="J947" s="3" t="s">
        <v>22</v>
      </c>
    </row>
    <row r="948" spans="1:10" x14ac:dyDescent="0.35">
      <c r="A948" s="3" t="s">
        <v>978</v>
      </c>
      <c r="B948" s="4">
        <v>43282</v>
      </c>
      <c r="C948" s="3" t="s">
        <v>34</v>
      </c>
      <c r="D948" s="3" t="s">
        <v>12</v>
      </c>
      <c r="E948" s="3">
        <v>4</v>
      </c>
      <c r="F948" s="3">
        <v>150</v>
      </c>
      <c r="G948" s="3">
        <v>600</v>
      </c>
      <c r="H948" s="3">
        <v>0.1</v>
      </c>
      <c r="I948" s="3">
        <v>60</v>
      </c>
      <c r="J948" s="3" t="s">
        <v>25</v>
      </c>
    </row>
    <row r="949" spans="1:10" x14ac:dyDescent="0.35">
      <c r="A949" s="3" t="s">
        <v>979</v>
      </c>
      <c r="B949" s="4">
        <v>43283</v>
      </c>
      <c r="C949" s="3" t="s">
        <v>11</v>
      </c>
      <c r="D949" s="3" t="s">
        <v>31</v>
      </c>
      <c r="E949" s="3">
        <v>9</v>
      </c>
      <c r="F949" s="3">
        <v>80</v>
      </c>
      <c r="G949" s="3">
        <v>720</v>
      </c>
      <c r="H949" s="3">
        <v>0.06</v>
      </c>
      <c r="I949" s="3">
        <v>43.199999999999996</v>
      </c>
      <c r="J949" s="3" t="s">
        <v>28</v>
      </c>
    </row>
    <row r="950" spans="1:10" x14ac:dyDescent="0.35">
      <c r="A950" s="3" t="s">
        <v>980</v>
      </c>
      <c r="B950" s="4">
        <v>43283</v>
      </c>
      <c r="C950" s="3" t="s">
        <v>11</v>
      </c>
      <c r="D950" s="3" t="s">
        <v>24</v>
      </c>
      <c r="E950" s="3">
        <v>16</v>
      </c>
      <c r="F950" s="3">
        <v>80</v>
      </c>
      <c r="G950" s="3">
        <v>1280</v>
      </c>
      <c r="H950" s="3">
        <v>0.02</v>
      </c>
      <c r="I950" s="3">
        <v>25.6</v>
      </c>
      <c r="J950" s="3" t="s">
        <v>17</v>
      </c>
    </row>
    <row r="951" spans="1:10" x14ac:dyDescent="0.35">
      <c r="A951" s="3" t="s">
        <v>981</v>
      </c>
      <c r="B951" s="4">
        <v>43283</v>
      </c>
      <c r="C951" s="3" t="s">
        <v>19</v>
      </c>
      <c r="D951" s="3" t="s">
        <v>16</v>
      </c>
      <c r="E951" s="3">
        <v>15</v>
      </c>
      <c r="F951" s="3">
        <v>230</v>
      </c>
      <c r="G951" s="3">
        <v>3450</v>
      </c>
      <c r="H951" s="3">
        <v>0.09</v>
      </c>
      <c r="I951" s="3">
        <v>310.5</v>
      </c>
      <c r="J951" s="3" t="s">
        <v>20</v>
      </c>
    </row>
    <row r="952" spans="1:10" x14ac:dyDescent="0.35">
      <c r="A952" s="3" t="s">
        <v>982</v>
      </c>
      <c r="B952" s="4">
        <v>43283</v>
      </c>
      <c r="C952" s="3" t="s">
        <v>30</v>
      </c>
      <c r="D952" s="3" t="s">
        <v>31</v>
      </c>
      <c r="E952" s="3">
        <v>15</v>
      </c>
      <c r="F952" s="3">
        <v>16</v>
      </c>
      <c r="G952" s="3">
        <v>240</v>
      </c>
      <c r="H952" s="3">
        <v>0.01</v>
      </c>
      <c r="I952" s="3">
        <v>2.4</v>
      </c>
      <c r="J952" s="3" t="s">
        <v>22</v>
      </c>
    </row>
    <row r="953" spans="1:10" x14ac:dyDescent="0.35">
      <c r="A953" s="3" t="s">
        <v>983</v>
      </c>
      <c r="B953" s="4">
        <v>43283</v>
      </c>
      <c r="C953" s="3" t="s">
        <v>19</v>
      </c>
      <c r="D953" s="3" t="s">
        <v>12</v>
      </c>
      <c r="E953" s="3">
        <v>7</v>
      </c>
      <c r="F953" s="3">
        <v>230</v>
      </c>
      <c r="G953" s="3">
        <v>1610</v>
      </c>
      <c r="H953" s="3">
        <v>0.02</v>
      </c>
      <c r="I953" s="3">
        <v>32.200000000000003</v>
      </c>
      <c r="J953" s="3" t="s">
        <v>25</v>
      </c>
    </row>
    <row r="954" spans="1:10" x14ac:dyDescent="0.35">
      <c r="A954" s="3" t="s">
        <v>984</v>
      </c>
      <c r="B954" s="4">
        <v>43283</v>
      </c>
      <c r="C954" s="3" t="s">
        <v>30</v>
      </c>
      <c r="D954" s="3" t="s">
        <v>24</v>
      </c>
      <c r="E954" s="3">
        <v>23</v>
      </c>
      <c r="F954" s="3">
        <v>16</v>
      </c>
      <c r="G954" s="3">
        <v>368</v>
      </c>
      <c r="H954" s="3">
        <v>0.11</v>
      </c>
      <c r="I954" s="3">
        <v>40.479999999999997</v>
      </c>
      <c r="J954" s="3" t="s">
        <v>28</v>
      </c>
    </row>
    <row r="955" spans="1:10" x14ac:dyDescent="0.35">
      <c r="A955" s="3" t="s">
        <v>985</v>
      </c>
      <c r="B955" s="4">
        <v>43283</v>
      </c>
      <c r="C955" s="3" t="s">
        <v>15</v>
      </c>
      <c r="D955" s="3" t="s">
        <v>31</v>
      </c>
      <c r="E955" s="3">
        <v>20</v>
      </c>
      <c r="F955" s="3">
        <v>40</v>
      </c>
      <c r="G955" s="3">
        <v>800</v>
      </c>
      <c r="H955" s="3">
        <v>0.05</v>
      </c>
      <c r="I955" s="3">
        <v>40</v>
      </c>
      <c r="J955" s="3" t="s">
        <v>32</v>
      </c>
    </row>
    <row r="956" spans="1:10" x14ac:dyDescent="0.35">
      <c r="A956" s="3" t="s">
        <v>986</v>
      </c>
      <c r="B956" s="4">
        <v>43284</v>
      </c>
      <c r="C956" s="3" t="s">
        <v>19</v>
      </c>
      <c r="D956" s="3" t="s">
        <v>16</v>
      </c>
      <c r="E956" s="3">
        <v>9</v>
      </c>
      <c r="F956" s="3">
        <v>230</v>
      </c>
      <c r="G956" s="3">
        <v>2070</v>
      </c>
      <c r="H956" s="3">
        <v>0.03</v>
      </c>
      <c r="I956" s="3">
        <v>62.099999999999994</v>
      </c>
      <c r="J956" s="3" t="s">
        <v>35</v>
      </c>
    </row>
    <row r="957" spans="1:10" x14ac:dyDescent="0.35">
      <c r="A957" s="3" t="s">
        <v>987</v>
      </c>
      <c r="B957" s="4">
        <v>43284</v>
      </c>
      <c r="C957" s="3" t="s">
        <v>15</v>
      </c>
      <c r="D957" s="3" t="s">
        <v>27</v>
      </c>
      <c r="E957" s="3">
        <v>23</v>
      </c>
      <c r="F957" s="3">
        <v>40</v>
      </c>
      <c r="G957" s="3">
        <v>920</v>
      </c>
      <c r="H957" s="3">
        <v>0.06</v>
      </c>
      <c r="I957" s="3">
        <v>55.199999999999996</v>
      </c>
      <c r="J957" s="3" t="s">
        <v>37</v>
      </c>
    </row>
    <row r="958" spans="1:10" x14ac:dyDescent="0.35">
      <c r="A958" s="3" t="s">
        <v>988</v>
      </c>
      <c r="B958" s="4">
        <v>43284</v>
      </c>
      <c r="C958" s="3" t="s">
        <v>15</v>
      </c>
      <c r="D958" s="3" t="s">
        <v>27</v>
      </c>
      <c r="E958" s="3">
        <v>4</v>
      </c>
      <c r="F958" s="3">
        <v>40</v>
      </c>
      <c r="G958" s="3">
        <v>160</v>
      </c>
      <c r="H958" s="3">
        <v>0.05</v>
      </c>
      <c r="I958" s="3">
        <v>8</v>
      </c>
      <c r="J958" s="3" t="s">
        <v>39</v>
      </c>
    </row>
    <row r="959" spans="1:10" x14ac:dyDescent="0.35">
      <c r="A959" s="3" t="s">
        <v>989</v>
      </c>
      <c r="B959" s="4">
        <v>43284</v>
      </c>
      <c r="C959" s="3" t="s">
        <v>34</v>
      </c>
      <c r="D959" s="3" t="s">
        <v>12</v>
      </c>
      <c r="E959" s="3">
        <v>13</v>
      </c>
      <c r="F959" s="3">
        <v>150</v>
      </c>
      <c r="G959" s="3">
        <v>1950</v>
      </c>
      <c r="H959" s="3">
        <v>0.05</v>
      </c>
      <c r="I959" s="3">
        <v>97.5</v>
      </c>
      <c r="J959" s="3" t="s">
        <v>41</v>
      </c>
    </row>
    <row r="960" spans="1:10" x14ac:dyDescent="0.35">
      <c r="A960" s="3" t="s">
        <v>990</v>
      </c>
      <c r="B960" s="4">
        <v>43284</v>
      </c>
      <c r="C960" s="3" t="s">
        <v>19</v>
      </c>
      <c r="D960" s="3" t="s">
        <v>16</v>
      </c>
      <c r="E960" s="3">
        <v>7</v>
      </c>
      <c r="F960" s="3">
        <v>230</v>
      </c>
      <c r="G960" s="3">
        <v>1610</v>
      </c>
      <c r="H960" s="3">
        <v>0.01</v>
      </c>
      <c r="I960" s="3">
        <v>16.100000000000001</v>
      </c>
      <c r="J960" s="3" t="s">
        <v>43</v>
      </c>
    </row>
    <row r="961" spans="1:10" x14ac:dyDescent="0.35">
      <c r="A961" s="3" t="s">
        <v>991</v>
      </c>
      <c r="B961" s="4">
        <v>43284</v>
      </c>
      <c r="C961" s="3" t="s">
        <v>19</v>
      </c>
      <c r="D961" s="3" t="s">
        <v>16</v>
      </c>
      <c r="E961" s="3">
        <v>7</v>
      </c>
      <c r="F961" s="3">
        <v>230</v>
      </c>
      <c r="G961" s="3">
        <v>1610</v>
      </c>
      <c r="H961" s="3">
        <v>0.08</v>
      </c>
      <c r="I961" s="3">
        <v>128.80000000000001</v>
      </c>
      <c r="J961" s="3" t="s">
        <v>13</v>
      </c>
    </row>
    <row r="962" spans="1:10" x14ac:dyDescent="0.35">
      <c r="A962" s="3" t="s">
        <v>992</v>
      </c>
      <c r="B962" s="4">
        <v>43284</v>
      </c>
      <c r="C962" s="3" t="s">
        <v>19</v>
      </c>
      <c r="D962" s="3" t="s">
        <v>24</v>
      </c>
      <c r="E962" s="3">
        <v>15</v>
      </c>
      <c r="F962" s="3">
        <v>230</v>
      </c>
      <c r="G962" s="3">
        <v>3450</v>
      </c>
      <c r="H962" s="3">
        <v>0.04</v>
      </c>
      <c r="I962" s="3">
        <v>138</v>
      </c>
      <c r="J962" s="3" t="s">
        <v>17</v>
      </c>
    </row>
    <row r="963" spans="1:10" x14ac:dyDescent="0.35">
      <c r="A963" s="3" t="s">
        <v>993</v>
      </c>
      <c r="B963" s="4">
        <v>43284</v>
      </c>
      <c r="C963" s="3" t="s">
        <v>15</v>
      </c>
      <c r="D963" s="3" t="s">
        <v>27</v>
      </c>
      <c r="E963" s="3">
        <v>15</v>
      </c>
      <c r="F963" s="3">
        <v>40</v>
      </c>
      <c r="G963" s="3">
        <v>600</v>
      </c>
      <c r="H963" s="3">
        <v>0.03</v>
      </c>
      <c r="I963" s="3">
        <v>18</v>
      </c>
      <c r="J963" s="3" t="s">
        <v>20</v>
      </c>
    </row>
    <row r="964" spans="1:10" x14ac:dyDescent="0.35">
      <c r="A964" s="3" t="s">
        <v>994</v>
      </c>
      <c r="B964" s="4">
        <v>43284</v>
      </c>
      <c r="C964" s="3" t="s">
        <v>15</v>
      </c>
      <c r="D964" s="3" t="s">
        <v>24</v>
      </c>
      <c r="E964" s="3">
        <v>2</v>
      </c>
      <c r="F964" s="3">
        <v>40</v>
      </c>
      <c r="G964" s="3">
        <v>80</v>
      </c>
      <c r="H964" s="3">
        <v>0.03</v>
      </c>
      <c r="I964" s="3">
        <v>2.4</v>
      </c>
      <c r="J964" s="3" t="s">
        <v>22</v>
      </c>
    </row>
    <row r="965" spans="1:10" x14ac:dyDescent="0.35">
      <c r="A965" s="3" t="s">
        <v>995</v>
      </c>
      <c r="B965" s="4">
        <v>43284</v>
      </c>
      <c r="C965" s="3" t="s">
        <v>34</v>
      </c>
      <c r="D965" s="3" t="s">
        <v>24</v>
      </c>
      <c r="E965" s="3">
        <v>2</v>
      </c>
      <c r="F965" s="3">
        <v>150</v>
      </c>
      <c r="G965" s="3">
        <v>300</v>
      </c>
      <c r="H965" s="3">
        <v>0.02</v>
      </c>
      <c r="I965" s="3">
        <v>6</v>
      </c>
      <c r="J965" s="3" t="s">
        <v>25</v>
      </c>
    </row>
    <row r="966" spans="1:10" x14ac:dyDescent="0.35">
      <c r="A966" s="3" t="s">
        <v>996</v>
      </c>
      <c r="B966" s="4">
        <v>43285</v>
      </c>
      <c r="C966" s="3" t="s">
        <v>19</v>
      </c>
      <c r="D966" s="3" t="s">
        <v>12</v>
      </c>
      <c r="E966" s="3">
        <v>3</v>
      </c>
      <c r="F966" s="3">
        <v>230</v>
      </c>
      <c r="G966" s="3">
        <v>690</v>
      </c>
      <c r="H966" s="3">
        <v>0.11</v>
      </c>
      <c r="I966" s="3">
        <v>75.900000000000006</v>
      </c>
      <c r="J966" s="3" t="s">
        <v>28</v>
      </c>
    </row>
    <row r="967" spans="1:10" x14ac:dyDescent="0.35">
      <c r="A967" s="3" t="s">
        <v>997</v>
      </c>
      <c r="B967" s="4">
        <v>43285</v>
      </c>
      <c r="C967" s="3" t="s">
        <v>15</v>
      </c>
      <c r="D967" s="3" t="s">
        <v>24</v>
      </c>
      <c r="E967" s="3">
        <v>4</v>
      </c>
      <c r="F967" s="3">
        <v>40</v>
      </c>
      <c r="G967" s="3">
        <v>160</v>
      </c>
      <c r="H967" s="3">
        <v>0.06</v>
      </c>
      <c r="I967" s="3">
        <v>9.6</v>
      </c>
      <c r="J967" s="3" t="s">
        <v>17</v>
      </c>
    </row>
    <row r="968" spans="1:10" x14ac:dyDescent="0.35">
      <c r="A968" s="3" t="s">
        <v>998</v>
      </c>
      <c r="B968" s="4">
        <v>43285</v>
      </c>
      <c r="C968" s="3" t="s">
        <v>15</v>
      </c>
      <c r="D968" s="3" t="s">
        <v>27</v>
      </c>
      <c r="E968" s="3">
        <v>13</v>
      </c>
      <c r="F968" s="3">
        <v>40</v>
      </c>
      <c r="G968" s="3">
        <v>520</v>
      </c>
      <c r="H968" s="3">
        <v>0.06</v>
      </c>
      <c r="I968" s="3">
        <v>31.2</v>
      </c>
      <c r="J968" s="3" t="s">
        <v>20</v>
      </c>
    </row>
    <row r="969" spans="1:10" x14ac:dyDescent="0.35">
      <c r="A969" s="3" t="s">
        <v>999</v>
      </c>
      <c r="B969" s="4">
        <v>43285</v>
      </c>
      <c r="C969" s="3" t="s">
        <v>30</v>
      </c>
      <c r="D969" s="3" t="s">
        <v>27</v>
      </c>
      <c r="E969" s="3">
        <v>15</v>
      </c>
      <c r="F969" s="3">
        <v>16</v>
      </c>
      <c r="G969" s="3">
        <v>240</v>
      </c>
      <c r="H969" s="3">
        <v>0.12</v>
      </c>
      <c r="I969" s="3">
        <v>28.799999999999997</v>
      </c>
      <c r="J969" s="3" t="s">
        <v>22</v>
      </c>
    </row>
    <row r="970" spans="1:10" x14ac:dyDescent="0.35">
      <c r="A970" s="3" t="s">
        <v>1000</v>
      </c>
      <c r="B970" s="4">
        <v>43285</v>
      </c>
      <c r="C970" s="3" t="s">
        <v>11</v>
      </c>
      <c r="D970" s="3" t="s">
        <v>12</v>
      </c>
      <c r="E970" s="3">
        <v>14</v>
      </c>
      <c r="F970" s="3">
        <v>80</v>
      </c>
      <c r="G970" s="3">
        <v>1120</v>
      </c>
      <c r="H970" s="3">
        <v>0.08</v>
      </c>
      <c r="I970" s="3">
        <v>89.600000000000009</v>
      </c>
      <c r="J970" s="3" t="s">
        <v>25</v>
      </c>
    </row>
    <row r="971" spans="1:10" x14ac:dyDescent="0.35">
      <c r="A971" s="3" t="s">
        <v>1001</v>
      </c>
      <c r="B971" s="4">
        <v>43285</v>
      </c>
      <c r="C971" s="3" t="s">
        <v>30</v>
      </c>
      <c r="D971" s="3" t="s">
        <v>12</v>
      </c>
      <c r="E971" s="3">
        <v>7</v>
      </c>
      <c r="F971" s="3">
        <v>16</v>
      </c>
      <c r="G971" s="3">
        <v>112</v>
      </c>
      <c r="H971" s="3">
        <v>0.08</v>
      </c>
      <c r="I971" s="3">
        <v>8.9600000000000009</v>
      </c>
      <c r="J971" s="3" t="s">
        <v>28</v>
      </c>
    </row>
    <row r="972" spans="1:10" x14ac:dyDescent="0.35">
      <c r="A972" s="3" t="s">
        <v>1002</v>
      </c>
      <c r="B972" s="4">
        <v>43285</v>
      </c>
      <c r="C972" s="3" t="s">
        <v>34</v>
      </c>
      <c r="D972" s="3" t="s">
        <v>16</v>
      </c>
      <c r="E972" s="3">
        <v>13</v>
      </c>
      <c r="F972" s="3">
        <v>150</v>
      </c>
      <c r="G972" s="3">
        <v>1950</v>
      </c>
      <c r="H972" s="3">
        <v>0.02</v>
      </c>
      <c r="I972" s="3">
        <v>39</v>
      </c>
      <c r="J972" s="3" t="s">
        <v>32</v>
      </c>
    </row>
    <row r="973" spans="1:10" x14ac:dyDescent="0.35">
      <c r="A973" s="3" t="s">
        <v>1003</v>
      </c>
      <c r="B973" s="4">
        <v>43285</v>
      </c>
      <c r="C973" s="3" t="s">
        <v>34</v>
      </c>
      <c r="D973" s="3" t="s">
        <v>24</v>
      </c>
      <c r="E973" s="3">
        <v>9</v>
      </c>
      <c r="F973" s="3">
        <v>150</v>
      </c>
      <c r="G973" s="3">
        <v>1350</v>
      </c>
      <c r="H973" s="3">
        <v>0.02</v>
      </c>
      <c r="I973" s="3">
        <v>27</v>
      </c>
      <c r="J973" s="3" t="s">
        <v>35</v>
      </c>
    </row>
    <row r="974" spans="1:10" x14ac:dyDescent="0.35">
      <c r="A974" s="3" t="s">
        <v>1004</v>
      </c>
      <c r="B974" s="4">
        <v>43285</v>
      </c>
      <c r="C974" s="3" t="s">
        <v>15</v>
      </c>
      <c r="D974" s="3" t="s">
        <v>12</v>
      </c>
      <c r="E974" s="3">
        <v>9</v>
      </c>
      <c r="F974" s="3">
        <v>40</v>
      </c>
      <c r="G974" s="3">
        <v>360</v>
      </c>
      <c r="H974" s="3">
        <v>0.01</v>
      </c>
      <c r="I974" s="3">
        <v>3.6</v>
      </c>
      <c r="J974" s="3" t="s">
        <v>37</v>
      </c>
    </row>
    <row r="975" spans="1:10" x14ac:dyDescent="0.35">
      <c r="A975" s="3" t="s">
        <v>1005</v>
      </c>
      <c r="B975" s="4">
        <v>43286</v>
      </c>
      <c r="C975" s="3" t="s">
        <v>11</v>
      </c>
      <c r="D975" s="3" t="s">
        <v>31</v>
      </c>
      <c r="E975" s="3">
        <v>9</v>
      </c>
      <c r="F975" s="3">
        <v>80</v>
      </c>
      <c r="G975" s="3">
        <v>720</v>
      </c>
      <c r="H975" s="3">
        <v>7.0000000000000007E-2</v>
      </c>
      <c r="I975" s="3">
        <v>50.400000000000006</v>
      </c>
      <c r="J975" s="3" t="s">
        <v>39</v>
      </c>
    </row>
    <row r="976" spans="1:10" x14ac:dyDescent="0.35">
      <c r="A976" s="3" t="s">
        <v>1006</v>
      </c>
      <c r="B976" s="4">
        <v>43286</v>
      </c>
      <c r="C976" s="3" t="s">
        <v>19</v>
      </c>
      <c r="D976" s="3" t="s">
        <v>16</v>
      </c>
      <c r="E976" s="3">
        <v>22</v>
      </c>
      <c r="F976" s="3">
        <v>230</v>
      </c>
      <c r="G976" s="3">
        <v>5060</v>
      </c>
      <c r="H976" s="3">
        <v>0.11</v>
      </c>
      <c r="I976" s="3">
        <v>556.6</v>
      </c>
      <c r="J976" s="3" t="s">
        <v>41</v>
      </c>
    </row>
    <row r="977" spans="1:10" x14ac:dyDescent="0.35">
      <c r="A977" s="3" t="s">
        <v>1007</v>
      </c>
      <c r="B977" s="4">
        <v>43286</v>
      </c>
      <c r="C977" s="3" t="s">
        <v>34</v>
      </c>
      <c r="D977" s="3" t="s">
        <v>16</v>
      </c>
      <c r="E977" s="3">
        <v>15</v>
      </c>
      <c r="F977" s="3">
        <v>150</v>
      </c>
      <c r="G977" s="3">
        <v>2250</v>
      </c>
      <c r="H977" s="3">
        <v>0.02</v>
      </c>
      <c r="I977" s="3">
        <v>45</v>
      </c>
      <c r="J977" s="3" t="s">
        <v>43</v>
      </c>
    </row>
    <row r="978" spans="1:10" x14ac:dyDescent="0.35">
      <c r="A978" s="3" t="s">
        <v>1008</v>
      </c>
      <c r="B978" s="4">
        <v>43286</v>
      </c>
      <c r="C978" s="3" t="s">
        <v>19</v>
      </c>
      <c r="D978" s="3" t="s">
        <v>31</v>
      </c>
      <c r="E978" s="3">
        <v>5</v>
      </c>
      <c r="F978" s="3">
        <v>230</v>
      </c>
      <c r="G978" s="3">
        <v>1150</v>
      </c>
      <c r="H978" s="3">
        <v>0.12</v>
      </c>
      <c r="I978" s="3">
        <v>138</v>
      </c>
      <c r="J978" s="3" t="s">
        <v>13</v>
      </c>
    </row>
    <row r="979" spans="1:10" x14ac:dyDescent="0.35">
      <c r="A979" s="3" t="s">
        <v>1009</v>
      </c>
      <c r="B979" s="4">
        <v>43286</v>
      </c>
      <c r="C979" s="3" t="s">
        <v>15</v>
      </c>
      <c r="D979" s="3" t="s">
        <v>24</v>
      </c>
      <c r="E979" s="3">
        <v>20</v>
      </c>
      <c r="F979" s="3">
        <v>40</v>
      </c>
      <c r="G979" s="3">
        <v>800</v>
      </c>
      <c r="H979" s="3">
        <v>0.01</v>
      </c>
      <c r="I979" s="3">
        <v>8</v>
      </c>
      <c r="J979" s="3" t="s">
        <v>17</v>
      </c>
    </row>
    <row r="980" spans="1:10" x14ac:dyDescent="0.35">
      <c r="A980" s="3" t="s">
        <v>1010</v>
      </c>
      <c r="B980" s="4">
        <v>43286</v>
      </c>
      <c r="C980" s="3" t="s">
        <v>15</v>
      </c>
      <c r="D980" s="3" t="s">
        <v>12</v>
      </c>
      <c r="E980" s="3">
        <v>23</v>
      </c>
      <c r="F980" s="3">
        <v>40</v>
      </c>
      <c r="G980" s="3">
        <v>920</v>
      </c>
      <c r="H980" s="3">
        <v>0.03</v>
      </c>
      <c r="I980" s="3">
        <v>27.599999999999998</v>
      </c>
      <c r="J980" s="3" t="s">
        <v>20</v>
      </c>
    </row>
    <row r="981" spans="1:10" x14ac:dyDescent="0.35">
      <c r="A981" s="3" t="s">
        <v>1011</v>
      </c>
      <c r="B981" s="4">
        <v>43286</v>
      </c>
      <c r="C981" s="3" t="s">
        <v>11</v>
      </c>
      <c r="D981" s="3" t="s">
        <v>31</v>
      </c>
      <c r="E981" s="3">
        <v>16</v>
      </c>
      <c r="F981" s="3">
        <v>80</v>
      </c>
      <c r="G981" s="3">
        <v>1280</v>
      </c>
      <c r="H981" s="3">
        <v>0.05</v>
      </c>
      <c r="I981" s="3">
        <v>64</v>
      </c>
      <c r="J981" s="3" t="s">
        <v>22</v>
      </c>
    </row>
    <row r="982" spans="1:10" x14ac:dyDescent="0.35">
      <c r="A982" s="3" t="s">
        <v>1012</v>
      </c>
      <c r="B982" s="4">
        <v>43286</v>
      </c>
      <c r="C982" s="3" t="s">
        <v>19</v>
      </c>
      <c r="D982" s="3" t="s">
        <v>24</v>
      </c>
      <c r="E982" s="3">
        <v>18</v>
      </c>
      <c r="F982" s="3">
        <v>230</v>
      </c>
      <c r="G982" s="3">
        <v>4140</v>
      </c>
      <c r="H982" s="3">
        <v>0.01</v>
      </c>
      <c r="I982" s="3">
        <v>41.4</v>
      </c>
      <c r="J982" s="3" t="s">
        <v>25</v>
      </c>
    </row>
    <row r="983" spans="1:10" x14ac:dyDescent="0.35">
      <c r="A983" s="3" t="s">
        <v>1013</v>
      </c>
      <c r="B983" s="4">
        <v>43286</v>
      </c>
      <c r="C983" s="3" t="s">
        <v>15</v>
      </c>
      <c r="D983" s="3" t="s">
        <v>31</v>
      </c>
      <c r="E983" s="3">
        <v>23</v>
      </c>
      <c r="F983" s="3">
        <v>40</v>
      </c>
      <c r="G983" s="3">
        <v>920</v>
      </c>
      <c r="H983" s="3">
        <v>0.05</v>
      </c>
      <c r="I983" s="3">
        <v>46</v>
      </c>
      <c r="J983" s="3" t="s">
        <v>28</v>
      </c>
    </row>
    <row r="984" spans="1:10" x14ac:dyDescent="0.35">
      <c r="A984" s="3" t="s">
        <v>1014</v>
      </c>
      <c r="B984" s="4">
        <v>43286</v>
      </c>
      <c r="C984" s="3" t="s">
        <v>30</v>
      </c>
      <c r="D984" s="3" t="s">
        <v>27</v>
      </c>
      <c r="E984" s="3">
        <v>5</v>
      </c>
      <c r="F984" s="3">
        <v>16</v>
      </c>
      <c r="G984" s="3">
        <v>80</v>
      </c>
      <c r="H984" s="3">
        <v>0.09</v>
      </c>
      <c r="I984" s="3">
        <v>7.1999999999999993</v>
      </c>
      <c r="J984" s="3" t="s">
        <v>17</v>
      </c>
    </row>
    <row r="985" spans="1:10" x14ac:dyDescent="0.35">
      <c r="A985" s="3" t="s">
        <v>1015</v>
      </c>
      <c r="B985" s="4">
        <v>43286</v>
      </c>
      <c r="C985" s="3" t="s">
        <v>15</v>
      </c>
      <c r="D985" s="3" t="s">
        <v>12</v>
      </c>
      <c r="E985" s="3">
        <v>22</v>
      </c>
      <c r="F985" s="3">
        <v>40</v>
      </c>
      <c r="G985" s="3">
        <v>880</v>
      </c>
      <c r="H985" s="3">
        <v>0.02</v>
      </c>
      <c r="I985" s="3">
        <v>17.600000000000001</v>
      </c>
      <c r="J985" s="3" t="s">
        <v>20</v>
      </c>
    </row>
    <row r="986" spans="1:10" x14ac:dyDescent="0.35">
      <c r="A986" s="3" t="s">
        <v>1016</v>
      </c>
      <c r="B986" s="4">
        <v>43287</v>
      </c>
      <c r="C986" s="3" t="s">
        <v>34</v>
      </c>
      <c r="D986" s="3" t="s">
        <v>12</v>
      </c>
      <c r="E986" s="3">
        <v>23</v>
      </c>
      <c r="F986" s="3">
        <v>150</v>
      </c>
      <c r="G986" s="3">
        <v>3450</v>
      </c>
      <c r="H986" s="3">
        <v>0.1</v>
      </c>
      <c r="I986" s="3">
        <v>345</v>
      </c>
      <c r="J986" s="3" t="s">
        <v>22</v>
      </c>
    </row>
    <row r="987" spans="1:10" x14ac:dyDescent="0.35">
      <c r="A987" s="3" t="s">
        <v>1017</v>
      </c>
      <c r="B987" s="4">
        <v>43287</v>
      </c>
      <c r="C987" s="3" t="s">
        <v>19</v>
      </c>
      <c r="D987" s="3" t="s">
        <v>16</v>
      </c>
      <c r="E987" s="3">
        <v>22</v>
      </c>
      <c r="F987" s="3">
        <v>230</v>
      </c>
      <c r="G987" s="3">
        <v>5060</v>
      </c>
      <c r="H987" s="3">
        <v>0.04</v>
      </c>
      <c r="I987" s="3">
        <v>202.4</v>
      </c>
      <c r="J987" s="3" t="s">
        <v>25</v>
      </c>
    </row>
    <row r="988" spans="1:10" x14ac:dyDescent="0.35">
      <c r="A988" s="3" t="s">
        <v>1018</v>
      </c>
      <c r="B988" s="4">
        <v>43287</v>
      </c>
      <c r="C988" s="3" t="s">
        <v>11</v>
      </c>
      <c r="D988" s="3" t="s">
        <v>27</v>
      </c>
      <c r="E988" s="3">
        <v>16</v>
      </c>
      <c r="F988" s="3">
        <v>80</v>
      </c>
      <c r="G988" s="3">
        <v>1280</v>
      </c>
      <c r="H988" s="3">
        <v>7.0000000000000007E-2</v>
      </c>
      <c r="I988" s="3">
        <v>89.600000000000009</v>
      </c>
      <c r="J988" s="3" t="s">
        <v>28</v>
      </c>
    </row>
    <row r="989" spans="1:10" x14ac:dyDescent="0.35">
      <c r="A989" s="3" t="s">
        <v>1019</v>
      </c>
      <c r="B989" s="4">
        <v>43287</v>
      </c>
      <c r="C989" s="3" t="s">
        <v>34</v>
      </c>
      <c r="D989" s="3" t="s">
        <v>24</v>
      </c>
      <c r="E989" s="3">
        <v>22</v>
      </c>
      <c r="F989" s="3">
        <v>150</v>
      </c>
      <c r="G989" s="3">
        <v>3300</v>
      </c>
      <c r="H989" s="3">
        <v>0.09</v>
      </c>
      <c r="I989" s="3">
        <v>297</v>
      </c>
      <c r="J989" s="3" t="s">
        <v>32</v>
      </c>
    </row>
    <row r="990" spans="1:10" x14ac:dyDescent="0.35">
      <c r="A990" s="3" t="s">
        <v>1020</v>
      </c>
      <c r="B990" s="4">
        <v>43287</v>
      </c>
      <c r="C990" s="3" t="s">
        <v>11</v>
      </c>
      <c r="D990" s="3" t="s">
        <v>24</v>
      </c>
      <c r="E990" s="3">
        <v>5</v>
      </c>
      <c r="F990" s="3">
        <v>80</v>
      </c>
      <c r="G990" s="3">
        <v>400</v>
      </c>
      <c r="H990" s="3">
        <v>0.09</v>
      </c>
      <c r="I990" s="3">
        <v>36</v>
      </c>
      <c r="J990" s="3" t="s">
        <v>35</v>
      </c>
    </row>
    <row r="991" spans="1:10" x14ac:dyDescent="0.35">
      <c r="A991" s="3" t="s">
        <v>1021</v>
      </c>
      <c r="B991" s="4">
        <v>43287</v>
      </c>
      <c r="C991" s="3" t="s">
        <v>11</v>
      </c>
      <c r="D991" s="3" t="s">
        <v>27</v>
      </c>
      <c r="E991" s="3">
        <v>16</v>
      </c>
      <c r="F991" s="3">
        <v>80</v>
      </c>
      <c r="G991" s="3">
        <v>1280</v>
      </c>
      <c r="H991" s="3">
        <v>0.1</v>
      </c>
      <c r="I991" s="3">
        <v>128</v>
      </c>
      <c r="J991" s="3" t="s">
        <v>37</v>
      </c>
    </row>
    <row r="992" spans="1:10" x14ac:dyDescent="0.35">
      <c r="A992" s="3" t="s">
        <v>1022</v>
      </c>
      <c r="B992" s="4">
        <v>43287</v>
      </c>
      <c r="C992" s="3" t="s">
        <v>34</v>
      </c>
      <c r="D992" s="3" t="s">
        <v>16</v>
      </c>
      <c r="E992" s="3">
        <v>23</v>
      </c>
      <c r="F992" s="3">
        <v>150</v>
      </c>
      <c r="G992" s="3">
        <v>3450</v>
      </c>
      <c r="H992" s="3">
        <v>0.11</v>
      </c>
      <c r="I992" s="3">
        <v>379.5</v>
      </c>
      <c r="J992" s="3" t="s">
        <v>39</v>
      </c>
    </row>
    <row r="993" spans="1:10" x14ac:dyDescent="0.35">
      <c r="A993" s="3" t="s">
        <v>1023</v>
      </c>
      <c r="B993" s="4">
        <v>43287</v>
      </c>
      <c r="C993" s="3" t="s">
        <v>30</v>
      </c>
      <c r="D993" s="3" t="s">
        <v>16</v>
      </c>
      <c r="E993" s="3">
        <v>4</v>
      </c>
      <c r="F993" s="3">
        <v>16</v>
      </c>
      <c r="G993" s="3">
        <v>64</v>
      </c>
      <c r="H993" s="3">
        <v>0.09</v>
      </c>
      <c r="I993" s="3">
        <v>5.76</v>
      </c>
      <c r="J993" s="3" t="s">
        <v>41</v>
      </c>
    </row>
    <row r="994" spans="1:10" x14ac:dyDescent="0.35">
      <c r="A994" s="3" t="s">
        <v>1024</v>
      </c>
      <c r="B994" s="4">
        <v>43287</v>
      </c>
      <c r="C994" s="3" t="s">
        <v>30</v>
      </c>
      <c r="D994" s="3" t="s">
        <v>16</v>
      </c>
      <c r="E994" s="3">
        <v>4</v>
      </c>
      <c r="F994" s="3">
        <v>16</v>
      </c>
      <c r="G994" s="3">
        <v>64</v>
      </c>
      <c r="H994" s="3">
        <v>7.0000000000000007E-2</v>
      </c>
      <c r="I994" s="3">
        <v>4.4800000000000004</v>
      </c>
      <c r="J994" s="3" t="s">
        <v>43</v>
      </c>
    </row>
    <row r="995" spans="1:10" x14ac:dyDescent="0.35">
      <c r="A995" s="3" t="s">
        <v>1025</v>
      </c>
      <c r="B995" s="4">
        <v>43287</v>
      </c>
      <c r="C995" s="3" t="s">
        <v>30</v>
      </c>
      <c r="D995" s="3" t="s">
        <v>12</v>
      </c>
      <c r="E995" s="3">
        <v>16</v>
      </c>
      <c r="F995" s="3">
        <v>16</v>
      </c>
      <c r="G995" s="3">
        <v>256</v>
      </c>
      <c r="H995" s="3">
        <v>0.03</v>
      </c>
      <c r="I995" s="3">
        <v>7.68</v>
      </c>
      <c r="J995" s="3" t="s">
        <v>13</v>
      </c>
    </row>
    <row r="996" spans="1:10" x14ac:dyDescent="0.35">
      <c r="A996" s="3" t="s">
        <v>1026</v>
      </c>
      <c r="B996" s="4">
        <v>43287</v>
      </c>
      <c r="C996" s="3" t="s">
        <v>15</v>
      </c>
      <c r="D996" s="3" t="s">
        <v>27</v>
      </c>
      <c r="E996" s="3">
        <v>18</v>
      </c>
      <c r="F996" s="3">
        <v>40</v>
      </c>
      <c r="G996" s="3">
        <v>720</v>
      </c>
      <c r="H996" s="3">
        <v>0.04</v>
      </c>
      <c r="I996" s="3">
        <v>28.8</v>
      </c>
      <c r="J996" s="3" t="s">
        <v>17</v>
      </c>
    </row>
    <row r="997" spans="1:10" x14ac:dyDescent="0.35">
      <c r="A997" s="3" t="s">
        <v>1027</v>
      </c>
      <c r="B997" s="4">
        <v>43287</v>
      </c>
      <c r="C997" s="3" t="s">
        <v>11</v>
      </c>
      <c r="D997" s="3" t="s">
        <v>27</v>
      </c>
      <c r="E997" s="3">
        <v>21</v>
      </c>
      <c r="F997" s="3">
        <v>80</v>
      </c>
      <c r="G997" s="3">
        <v>1680</v>
      </c>
      <c r="H997" s="3">
        <v>0.02</v>
      </c>
      <c r="I997" s="3">
        <v>33.6</v>
      </c>
      <c r="J997" s="3" t="s">
        <v>20</v>
      </c>
    </row>
    <row r="998" spans="1:10" x14ac:dyDescent="0.35">
      <c r="A998" s="3" t="s">
        <v>1028</v>
      </c>
      <c r="B998" s="4">
        <v>43287</v>
      </c>
      <c r="C998" s="3" t="s">
        <v>11</v>
      </c>
      <c r="D998" s="3" t="s">
        <v>31</v>
      </c>
      <c r="E998" s="3">
        <v>10</v>
      </c>
      <c r="F998" s="3">
        <v>80</v>
      </c>
      <c r="G998" s="3">
        <v>800</v>
      </c>
      <c r="H998" s="3">
        <v>0.06</v>
      </c>
      <c r="I998" s="3">
        <v>48</v>
      </c>
      <c r="J998" s="3" t="s">
        <v>22</v>
      </c>
    </row>
    <row r="999" spans="1:10" x14ac:dyDescent="0.35">
      <c r="A999" s="3" t="s">
        <v>1029</v>
      </c>
      <c r="B999" s="4">
        <v>43287</v>
      </c>
      <c r="C999" s="3" t="s">
        <v>19</v>
      </c>
      <c r="D999" s="3" t="s">
        <v>24</v>
      </c>
      <c r="E999" s="3">
        <v>7</v>
      </c>
      <c r="F999" s="3">
        <v>230</v>
      </c>
      <c r="G999" s="3">
        <v>1610</v>
      </c>
      <c r="H999" s="3">
        <v>0.01</v>
      </c>
      <c r="I999" s="3">
        <v>16.100000000000001</v>
      </c>
      <c r="J999" s="3" t="s">
        <v>25</v>
      </c>
    </row>
    <row r="1000" spans="1:10" x14ac:dyDescent="0.35">
      <c r="A1000" s="3" t="s">
        <v>1030</v>
      </c>
      <c r="B1000" s="4">
        <v>43288</v>
      </c>
      <c r="C1000" s="3" t="s">
        <v>30</v>
      </c>
      <c r="D1000" s="3" t="s">
        <v>31</v>
      </c>
      <c r="E1000" s="3">
        <v>11</v>
      </c>
      <c r="F1000" s="3">
        <v>16</v>
      </c>
      <c r="G1000" s="3">
        <v>176</v>
      </c>
      <c r="H1000" s="3">
        <v>0.12</v>
      </c>
      <c r="I1000" s="3">
        <v>21.119999999999997</v>
      </c>
      <c r="J1000" s="3" t="s">
        <v>28</v>
      </c>
    </row>
    <row r="1001" spans="1:10" x14ac:dyDescent="0.35">
      <c r="A1001" s="3" t="s">
        <v>1031</v>
      </c>
      <c r="B1001" s="4">
        <v>43288</v>
      </c>
      <c r="C1001" s="3" t="s">
        <v>11</v>
      </c>
      <c r="D1001" s="3" t="s">
        <v>27</v>
      </c>
      <c r="E1001" s="3">
        <v>10</v>
      </c>
      <c r="F1001" s="3">
        <v>80</v>
      </c>
      <c r="G1001" s="3">
        <v>800</v>
      </c>
      <c r="H1001" s="3">
        <v>0.1</v>
      </c>
      <c r="I1001" s="3">
        <v>80</v>
      </c>
      <c r="J1001" s="3" t="s">
        <v>17</v>
      </c>
    </row>
    <row r="1002" spans="1:10" x14ac:dyDescent="0.35">
      <c r="A1002" s="3" t="s">
        <v>1032</v>
      </c>
      <c r="B1002" s="4">
        <v>43288</v>
      </c>
      <c r="C1002" s="3" t="s">
        <v>15</v>
      </c>
      <c r="D1002" s="3" t="s">
        <v>16</v>
      </c>
      <c r="E1002" s="3">
        <v>23</v>
      </c>
      <c r="F1002" s="3">
        <v>40</v>
      </c>
      <c r="G1002" s="3">
        <v>920</v>
      </c>
      <c r="H1002" s="3">
        <v>0.06</v>
      </c>
      <c r="I1002" s="3">
        <v>55.199999999999996</v>
      </c>
      <c r="J1002" s="3" t="s">
        <v>20</v>
      </c>
    </row>
    <row r="1003" spans="1:10" x14ac:dyDescent="0.35">
      <c r="A1003" s="3" t="s">
        <v>1033</v>
      </c>
      <c r="B1003" s="4">
        <v>43288</v>
      </c>
      <c r="C1003" s="3" t="s">
        <v>34</v>
      </c>
      <c r="D1003" s="3" t="s">
        <v>31</v>
      </c>
      <c r="E1003" s="3">
        <v>7</v>
      </c>
      <c r="F1003" s="3">
        <v>150</v>
      </c>
      <c r="G1003" s="3">
        <v>1050</v>
      </c>
      <c r="H1003" s="3">
        <v>0.02</v>
      </c>
      <c r="I1003" s="3">
        <v>21</v>
      </c>
      <c r="J1003" s="3" t="s">
        <v>22</v>
      </c>
    </row>
    <row r="1004" spans="1:10" x14ac:dyDescent="0.35">
      <c r="A1004" s="3" t="s">
        <v>1034</v>
      </c>
      <c r="B1004" s="4">
        <v>43288</v>
      </c>
      <c r="C1004" s="3" t="s">
        <v>11</v>
      </c>
      <c r="D1004" s="3" t="s">
        <v>12</v>
      </c>
      <c r="E1004" s="3">
        <v>17</v>
      </c>
      <c r="F1004" s="3">
        <v>80</v>
      </c>
      <c r="G1004" s="3">
        <v>1360</v>
      </c>
      <c r="H1004" s="3">
        <v>7.0000000000000007E-2</v>
      </c>
      <c r="I1004" s="3">
        <v>95.2</v>
      </c>
      <c r="J1004" s="3" t="s">
        <v>25</v>
      </c>
    </row>
    <row r="1005" spans="1:10" x14ac:dyDescent="0.35">
      <c r="A1005" s="3" t="s">
        <v>1035</v>
      </c>
      <c r="B1005" s="4">
        <v>43288</v>
      </c>
      <c r="C1005" s="3" t="s">
        <v>34</v>
      </c>
      <c r="D1005" s="3" t="s">
        <v>16</v>
      </c>
      <c r="E1005" s="3">
        <v>20</v>
      </c>
      <c r="F1005" s="3">
        <v>150</v>
      </c>
      <c r="G1005" s="3">
        <v>3000</v>
      </c>
      <c r="H1005" s="3">
        <v>0.09</v>
      </c>
      <c r="I1005" s="3">
        <v>270</v>
      </c>
      <c r="J1005" s="3" t="s">
        <v>28</v>
      </c>
    </row>
    <row r="1006" spans="1:10" x14ac:dyDescent="0.35">
      <c r="A1006" s="3" t="s">
        <v>1036</v>
      </c>
      <c r="B1006" s="4">
        <v>43288</v>
      </c>
      <c r="C1006" s="3" t="s">
        <v>19</v>
      </c>
      <c r="D1006" s="3" t="s">
        <v>27</v>
      </c>
      <c r="E1006" s="3">
        <v>23</v>
      </c>
      <c r="F1006" s="3">
        <v>230</v>
      </c>
      <c r="G1006" s="3">
        <v>5290</v>
      </c>
      <c r="H1006" s="3">
        <v>0.06</v>
      </c>
      <c r="I1006" s="3">
        <v>317.39999999999998</v>
      </c>
      <c r="J1006" s="3" t="s">
        <v>32</v>
      </c>
    </row>
    <row r="1007" spans="1:10" x14ac:dyDescent="0.35">
      <c r="A1007" s="3" t="s">
        <v>1037</v>
      </c>
      <c r="B1007" s="4">
        <v>43288</v>
      </c>
      <c r="C1007" s="3" t="s">
        <v>11</v>
      </c>
      <c r="D1007" s="3" t="s">
        <v>16</v>
      </c>
      <c r="E1007" s="3">
        <v>16</v>
      </c>
      <c r="F1007" s="3">
        <v>80</v>
      </c>
      <c r="G1007" s="3">
        <v>1280</v>
      </c>
      <c r="H1007" s="3">
        <v>0.04</v>
      </c>
      <c r="I1007" s="3">
        <v>51.2</v>
      </c>
      <c r="J1007" s="3" t="s">
        <v>35</v>
      </c>
    </row>
    <row r="1008" spans="1:10" x14ac:dyDescent="0.35">
      <c r="A1008" s="3" t="s">
        <v>1038</v>
      </c>
      <c r="B1008" s="4">
        <v>43288</v>
      </c>
      <c r="C1008" s="3" t="s">
        <v>19</v>
      </c>
      <c r="D1008" s="3" t="s">
        <v>31</v>
      </c>
      <c r="E1008" s="3">
        <v>22</v>
      </c>
      <c r="F1008" s="3">
        <v>230</v>
      </c>
      <c r="G1008" s="3">
        <v>5060</v>
      </c>
      <c r="H1008" s="3">
        <v>0.1</v>
      </c>
      <c r="I1008" s="3">
        <v>506</v>
      </c>
      <c r="J1008" s="3" t="s">
        <v>37</v>
      </c>
    </row>
    <row r="1009" spans="1:10" x14ac:dyDescent="0.35">
      <c r="A1009" s="3" t="s">
        <v>1039</v>
      </c>
      <c r="B1009" s="4">
        <v>43288</v>
      </c>
      <c r="C1009" s="3" t="s">
        <v>19</v>
      </c>
      <c r="D1009" s="3" t="s">
        <v>24</v>
      </c>
      <c r="E1009" s="3">
        <v>15</v>
      </c>
      <c r="F1009" s="3">
        <v>230</v>
      </c>
      <c r="G1009" s="3">
        <v>3450</v>
      </c>
      <c r="H1009" s="3">
        <v>0.11</v>
      </c>
      <c r="I1009" s="3">
        <v>379.5</v>
      </c>
      <c r="J1009" s="3" t="s">
        <v>39</v>
      </c>
    </row>
    <row r="1010" spans="1:10" x14ac:dyDescent="0.35">
      <c r="A1010" s="3" t="s">
        <v>1040</v>
      </c>
      <c r="B1010" s="4">
        <v>43288</v>
      </c>
      <c r="C1010" s="3" t="s">
        <v>15</v>
      </c>
      <c r="D1010" s="3" t="s">
        <v>16</v>
      </c>
      <c r="E1010" s="3">
        <v>15</v>
      </c>
      <c r="F1010" s="3">
        <v>40</v>
      </c>
      <c r="G1010" s="3">
        <v>600</v>
      </c>
      <c r="H1010" s="3">
        <v>0.04</v>
      </c>
      <c r="I1010" s="3">
        <v>24</v>
      </c>
      <c r="J1010" s="3" t="s">
        <v>41</v>
      </c>
    </row>
    <row r="1011" spans="1:10" x14ac:dyDescent="0.35">
      <c r="A1011" s="3" t="s">
        <v>1041</v>
      </c>
      <c r="B1011" s="4">
        <v>43288</v>
      </c>
      <c r="C1011" s="3" t="s">
        <v>11</v>
      </c>
      <c r="D1011" s="3" t="s">
        <v>16</v>
      </c>
      <c r="E1011" s="3">
        <v>2</v>
      </c>
      <c r="F1011" s="3">
        <v>80</v>
      </c>
      <c r="G1011" s="3">
        <v>160</v>
      </c>
      <c r="H1011" s="3">
        <v>7.0000000000000007E-2</v>
      </c>
      <c r="I1011" s="3">
        <v>11.200000000000001</v>
      </c>
      <c r="J1011" s="3" t="s">
        <v>43</v>
      </c>
    </row>
    <row r="1012" spans="1:10" x14ac:dyDescent="0.35">
      <c r="A1012" s="3" t="s">
        <v>1042</v>
      </c>
      <c r="B1012" s="4">
        <v>43289</v>
      </c>
      <c r="C1012" s="3" t="s">
        <v>34</v>
      </c>
      <c r="D1012" s="3" t="s">
        <v>12</v>
      </c>
      <c r="E1012" s="3">
        <v>22</v>
      </c>
      <c r="F1012" s="3">
        <v>150</v>
      </c>
      <c r="G1012" s="3">
        <v>3300</v>
      </c>
      <c r="H1012" s="3">
        <v>0.05</v>
      </c>
      <c r="I1012" s="3">
        <v>165</v>
      </c>
      <c r="J1012" s="3" t="s">
        <v>13</v>
      </c>
    </row>
    <row r="1013" spans="1:10" x14ac:dyDescent="0.35">
      <c r="A1013" s="3" t="s">
        <v>1043</v>
      </c>
      <c r="B1013" s="4">
        <v>43289</v>
      </c>
      <c r="C1013" s="3" t="s">
        <v>15</v>
      </c>
      <c r="D1013" s="3" t="s">
        <v>31</v>
      </c>
      <c r="E1013" s="3">
        <v>20</v>
      </c>
      <c r="F1013" s="3">
        <v>40</v>
      </c>
      <c r="G1013" s="3">
        <v>800</v>
      </c>
      <c r="H1013" s="3">
        <v>7.0000000000000007E-2</v>
      </c>
      <c r="I1013" s="3">
        <v>56.000000000000007</v>
      </c>
      <c r="J1013" s="3" t="s">
        <v>17</v>
      </c>
    </row>
    <row r="1014" spans="1:10" x14ac:dyDescent="0.35">
      <c r="A1014" s="3" t="s">
        <v>1044</v>
      </c>
      <c r="B1014" s="4">
        <v>43289</v>
      </c>
      <c r="C1014" s="3" t="s">
        <v>19</v>
      </c>
      <c r="D1014" s="3" t="s">
        <v>27</v>
      </c>
      <c r="E1014" s="3">
        <v>2</v>
      </c>
      <c r="F1014" s="3">
        <v>230</v>
      </c>
      <c r="G1014" s="3">
        <v>460</v>
      </c>
      <c r="H1014" s="3">
        <v>0.09</v>
      </c>
      <c r="I1014" s="3">
        <v>41.4</v>
      </c>
      <c r="J1014" s="3" t="s">
        <v>20</v>
      </c>
    </row>
    <row r="1015" spans="1:10" x14ac:dyDescent="0.35">
      <c r="A1015" s="3" t="s">
        <v>1045</v>
      </c>
      <c r="B1015" s="4">
        <v>43289</v>
      </c>
      <c r="C1015" s="3" t="s">
        <v>15</v>
      </c>
      <c r="D1015" s="3" t="s">
        <v>27</v>
      </c>
      <c r="E1015" s="3">
        <v>7</v>
      </c>
      <c r="F1015" s="3">
        <v>40</v>
      </c>
      <c r="G1015" s="3">
        <v>280</v>
      </c>
      <c r="H1015" s="3">
        <v>0.11</v>
      </c>
      <c r="I1015" s="3">
        <v>30.8</v>
      </c>
      <c r="J1015" s="3" t="s">
        <v>22</v>
      </c>
    </row>
    <row r="1016" spans="1:10" x14ac:dyDescent="0.35">
      <c r="A1016" s="3" t="s">
        <v>1046</v>
      </c>
      <c r="B1016" s="4">
        <v>43289</v>
      </c>
      <c r="C1016" s="3" t="s">
        <v>15</v>
      </c>
      <c r="D1016" s="3" t="s">
        <v>27</v>
      </c>
      <c r="E1016" s="3">
        <v>9</v>
      </c>
      <c r="F1016" s="3">
        <v>40</v>
      </c>
      <c r="G1016" s="3">
        <v>360</v>
      </c>
      <c r="H1016" s="3">
        <v>0.06</v>
      </c>
      <c r="I1016" s="3">
        <v>21.599999999999998</v>
      </c>
      <c r="J1016" s="3" t="s">
        <v>28</v>
      </c>
    </row>
    <row r="1017" spans="1:10" x14ac:dyDescent="0.35">
      <c r="A1017" s="3" t="s">
        <v>1047</v>
      </c>
      <c r="B1017" s="4">
        <v>43289</v>
      </c>
      <c r="C1017" s="3" t="s">
        <v>15</v>
      </c>
      <c r="D1017" s="3" t="s">
        <v>12</v>
      </c>
      <c r="E1017" s="3">
        <v>18</v>
      </c>
      <c r="F1017" s="3">
        <v>40</v>
      </c>
      <c r="G1017" s="3">
        <v>720</v>
      </c>
      <c r="H1017" s="3">
        <v>0.11</v>
      </c>
      <c r="I1017" s="3">
        <v>79.2</v>
      </c>
      <c r="J1017" s="3" t="s">
        <v>17</v>
      </c>
    </row>
    <row r="1018" spans="1:10" x14ac:dyDescent="0.35">
      <c r="A1018" s="3" t="s">
        <v>1048</v>
      </c>
      <c r="B1018" s="4">
        <v>43289</v>
      </c>
      <c r="C1018" s="3" t="s">
        <v>19</v>
      </c>
      <c r="D1018" s="3" t="s">
        <v>12</v>
      </c>
      <c r="E1018" s="3">
        <v>20</v>
      </c>
      <c r="F1018" s="3">
        <v>230</v>
      </c>
      <c r="G1018" s="3">
        <v>4600</v>
      </c>
      <c r="H1018" s="3">
        <v>0.04</v>
      </c>
      <c r="I1018" s="3">
        <v>184</v>
      </c>
      <c r="J1018" s="3" t="s">
        <v>20</v>
      </c>
    </row>
    <row r="1019" spans="1:10" x14ac:dyDescent="0.35">
      <c r="A1019" s="3" t="s">
        <v>1049</v>
      </c>
      <c r="B1019" s="4">
        <v>43289</v>
      </c>
      <c r="C1019" s="3" t="s">
        <v>11</v>
      </c>
      <c r="D1019" s="3" t="s">
        <v>24</v>
      </c>
      <c r="E1019" s="3">
        <v>23</v>
      </c>
      <c r="F1019" s="3">
        <v>80</v>
      </c>
      <c r="G1019" s="3">
        <v>1840</v>
      </c>
      <c r="H1019" s="3">
        <v>0.05</v>
      </c>
      <c r="I1019" s="3">
        <v>92</v>
      </c>
      <c r="J1019" s="3" t="s">
        <v>22</v>
      </c>
    </row>
    <row r="1020" spans="1:10" x14ac:dyDescent="0.35">
      <c r="A1020" s="3" t="s">
        <v>1050</v>
      </c>
      <c r="B1020" s="4">
        <v>43289</v>
      </c>
      <c r="C1020" s="3" t="s">
        <v>34</v>
      </c>
      <c r="D1020" s="3" t="s">
        <v>31</v>
      </c>
      <c r="E1020" s="3">
        <v>11</v>
      </c>
      <c r="F1020" s="3">
        <v>150</v>
      </c>
      <c r="G1020" s="3">
        <v>1650</v>
      </c>
      <c r="H1020" s="3">
        <v>0.09</v>
      </c>
      <c r="I1020" s="3">
        <v>148.5</v>
      </c>
      <c r="J1020" s="3" t="s">
        <v>25</v>
      </c>
    </row>
    <row r="1021" spans="1:10" x14ac:dyDescent="0.35">
      <c r="A1021" s="3" t="s">
        <v>1051</v>
      </c>
      <c r="B1021" s="4">
        <v>43289</v>
      </c>
      <c r="C1021" s="3" t="s">
        <v>34</v>
      </c>
      <c r="D1021" s="3" t="s">
        <v>12</v>
      </c>
      <c r="E1021" s="3">
        <v>17</v>
      </c>
      <c r="F1021" s="3">
        <v>150</v>
      </c>
      <c r="G1021" s="3">
        <v>2550</v>
      </c>
      <c r="H1021" s="3">
        <v>0.12</v>
      </c>
      <c r="I1021" s="3">
        <v>306</v>
      </c>
      <c r="J1021" s="3" t="s">
        <v>28</v>
      </c>
    </row>
    <row r="1022" spans="1:10" x14ac:dyDescent="0.35">
      <c r="A1022" s="3" t="s">
        <v>1052</v>
      </c>
      <c r="B1022" s="4">
        <v>43289</v>
      </c>
      <c r="C1022" s="3" t="s">
        <v>19</v>
      </c>
      <c r="D1022" s="3" t="s">
        <v>31</v>
      </c>
      <c r="E1022" s="3">
        <v>2</v>
      </c>
      <c r="F1022" s="3">
        <v>230</v>
      </c>
      <c r="G1022" s="3">
        <v>460</v>
      </c>
      <c r="H1022" s="3">
        <v>0.08</v>
      </c>
      <c r="I1022" s="3">
        <v>36.800000000000004</v>
      </c>
      <c r="J1022" s="3" t="s">
        <v>32</v>
      </c>
    </row>
    <row r="1023" spans="1:10" x14ac:dyDescent="0.35">
      <c r="A1023" s="3" t="s">
        <v>1053</v>
      </c>
      <c r="B1023" s="4">
        <v>43289</v>
      </c>
      <c r="C1023" s="3" t="s">
        <v>11</v>
      </c>
      <c r="D1023" s="3" t="s">
        <v>24</v>
      </c>
      <c r="E1023" s="3">
        <v>10</v>
      </c>
      <c r="F1023" s="3">
        <v>80</v>
      </c>
      <c r="G1023" s="3">
        <v>800</v>
      </c>
      <c r="H1023" s="3">
        <v>0.11</v>
      </c>
      <c r="I1023" s="3">
        <v>88</v>
      </c>
      <c r="J1023" s="3" t="s">
        <v>35</v>
      </c>
    </row>
    <row r="1024" spans="1:10" x14ac:dyDescent="0.35">
      <c r="A1024" s="3" t="s">
        <v>1054</v>
      </c>
      <c r="B1024" s="4">
        <v>43290</v>
      </c>
      <c r="C1024" s="3" t="s">
        <v>30</v>
      </c>
      <c r="D1024" s="3" t="s">
        <v>27</v>
      </c>
      <c r="E1024" s="3">
        <v>22</v>
      </c>
      <c r="F1024" s="3">
        <v>16</v>
      </c>
      <c r="G1024" s="3">
        <v>352</v>
      </c>
      <c r="H1024" s="3">
        <v>0.03</v>
      </c>
      <c r="I1024" s="3">
        <v>10.559999999999999</v>
      </c>
      <c r="J1024" s="3" t="s">
        <v>37</v>
      </c>
    </row>
    <row r="1025" spans="1:10" x14ac:dyDescent="0.35">
      <c r="A1025" s="3" t="s">
        <v>1055</v>
      </c>
      <c r="B1025" s="4">
        <v>43290</v>
      </c>
      <c r="C1025" s="3" t="s">
        <v>30</v>
      </c>
      <c r="D1025" s="3" t="s">
        <v>24</v>
      </c>
      <c r="E1025" s="3">
        <v>9</v>
      </c>
      <c r="F1025" s="3">
        <v>16</v>
      </c>
      <c r="G1025" s="3">
        <v>144</v>
      </c>
      <c r="H1025" s="3">
        <v>0.05</v>
      </c>
      <c r="I1025" s="3">
        <v>7.2</v>
      </c>
      <c r="J1025" s="3" t="s">
        <v>39</v>
      </c>
    </row>
    <row r="1026" spans="1:10" x14ac:dyDescent="0.35">
      <c r="A1026" s="3" t="s">
        <v>1056</v>
      </c>
      <c r="B1026" s="4">
        <v>43290</v>
      </c>
      <c r="C1026" s="3" t="s">
        <v>15</v>
      </c>
      <c r="D1026" s="3" t="s">
        <v>24</v>
      </c>
      <c r="E1026" s="3">
        <v>4</v>
      </c>
      <c r="F1026" s="3">
        <v>40</v>
      </c>
      <c r="G1026" s="3">
        <v>160</v>
      </c>
      <c r="H1026" s="3">
        <v>0.1</v>
      </c>
      <c r="I1026" s="3">
        <v>16</v>
      </c>
      <c r="J1026" s="3" t="s">
        <v>41</v>
      </c>
    </row>
    <row r="1027" spans="1:10" x14ac:dyDescent="0.35">
      <c r="A1027" s="3" t="s">
        <v>1057</v>
      </c>
      <c r="B1027" s="4">
        <v>43290</v>
      </c>
      <c r="C1027" s="3" t="s">
        <v>11</v>
      </c>
      <c r="D1027" s="3" t="s">
        <v>31</v>
      </c>
      <c r="E1027" s="3">
        <v>9</v>
      </c>
      <c r="F1027" s="3">
        <v>80</v>
      </c>
      <c r="G1027" s="3">
        <v>720</v>
      </c>
      <c r="H1027" s="3">
        <v>0.02</v>
      </c>
      <c r="I1027" s="3">
        <v>14.4</v>
      </c>
      <c r="J1027" s="3" t="s">
        <v>43</v>
      </c>
    </row>
    <row r="1028" spans="1:10" x14ac:dyDescent="0.35">
      <c r="A1028" s="3" t="s">
        <v>1058</v>
      </c>
      <c r="B1028" s="4">
        <v>43290</v>
      </c>
      <c r="C1028" s="3" t="s">
        <v>19</v>
      </c>
      <c r="D1028" s="3" t="s">
        <v>24</v>
      </c>
      <c r="E1028" s="3">
        <v>6</v>
      </c>
      <c r="F1028" s="3">
        <v>230</v>
      </c>
      <c r="G1028" s="3">
        <v>1380</v>
      </c>
      <c r="H1028" s="3">
        <v>0.05</v>
      </c>
      <c r="I1028" s="3">
        <v>69</v>
      </c>
      <c r="J1028" s="3" t="s">
        <v>13</v>
      </c>
    </row>
    <row r="1029" spans="1:10" x14ac:dyDescent="0.35">
      <c r="A1029" s="3" t="s">
        <v>1059</v>
      </c>
      <c r="B1029" s="4">
        <v>43290</v>
      </c>
      <c r="C1029" s="3" t="s">
        <v>11</v>
      </c>
      <c r="D1029" s="3" t="s">
        <v>27</v>
      </c>
      <c r="E1029" s="3">
        <v>14</v>
      </c>
      <c r="F1029" s="3">
        <v>80</v>
      </c>
      <c r="G1029" s="3">
        <v>1120</v>
      </c>
      <c r="H1029" s="3">
        <v>0.05</v>
      </c>
      <c r="I1029" s="3">
        <v>56</v>
      </c>
      <c r="J1029" s="3" t="s">
        <v>17</v>
      </c>
    </row>
    <row r="1030" spans="1:10" x14ac:dyDescent="0.35">
      <c r="A1030" s="3" t="s">
        <v>1060</v>
      </c>
      <c r="B1030" s="4">
        <v>43290</v>
      </c>
      <c r="C1030" s="3" t="s">
        <v>30</v>
      </c>
      <c r="D1030" s="3" t="s">
        <v>31</v>
      </c>
      <c r="E1030" s="3">
        <v>17</v>
      </c>
      <c r="F1030" s="3">
        <v>16</v>
      </c>
      <c r="G1030" s="3">
        <v>272</v>
      </c>
      <c r="H1030" s="3">
        <v>0.08</v>
      </c>
      <c r="I1030" s="3">
        <v>21.76</v>
      </c>
      <c r="J1030" s="3" t="s">
        <v>20</v>
      </c>
    </row>
    <row r="1031" spans="1:10" x14ac:dyDescent="0.35">
      <c r="A1031" s="3" t="s">
        <v>1061</v>
      </c>
      <c r="B1031" s="4">
        <v>43290</v>
      </c>
      <c r="C1031" s="3" t="s">
        <v>34</v>
      </c>
      <c r="D1031" s="3" t="s">
        <v>16</v>
      </c>
      <c r="E1031" s="3">
        <v>22</v>
      </c>
      <c r="F1031" s="3">
        <v>150</v>
      </c>
      <c r="G1031" s="3">
        <v>3300</v>
      </c>
      <c r="H1031" s="3">
        <v>0.02</v>
      </c>
      <c r="I1031" s="3">
        <v>66</v>
      </c>
      <c r="J1031" s="3" t="s">
        <v>22</v>
      </c>
    </row>
    <row r="1032" spans="1:10" x14ac:dyDescent="0.35">
      <c r="A1032" s="3" t="s">
        <v>1062</v>
      </c>
      <c r="B1032" s="4">
        <v>43290</v>
      </c>
      <c r="C1032" s="3" t="s">
        <v>15</v>
      </c>
      <c r="D1032" s="3" t="s">
        <v>31</v>
      </c>
      <c r="E1032" s="3">
        <v>17</v>
      </c>
      <c r="F1032" s="3">
        <v>40</v>
      </c>
      <c r="G1032" s="3">
        <v>680</v>
      </c>
      <c r="H1032" s="3">
        <v>0.02</v>
      </c>
      <c r="I1032" s="3">
        <v>13.6</v>
      </c>
      <c r="J1032" s="3" t="s">
        <v>25</v>
      </c>
    </row>
    <row r="1033" spans="1:10" x14ac:dyDescent="0.35">
      <c r="A1033" s="3" t="s">
        <v>1063</v>
      </c>
      <c r="B1033" s="4">
        <v>43290</v>
      </c>
      <c r="C1033" s="3" t="s">
        <v>11</v>
      </c>
      <c r="D1033" s="3" t="s">
        <v>31</v>
      </c>
      <c r="E1033" s="3">
        <v>17</v>
      </c>
      <c r="F1033" s="3">
        <v>80</v>
      </c>
      <c r="G1033" s="3">
        <v>1360</v>
      </c>
      <c r="H1033" s="3">
        <v>7.0000000000000007E-2</v>
      </c>
      <c r="I1033" s="3">
        <v>95.2</v>
      </c>
      <c r="J1033" s="3" t="s">
        <v>28</v>
      </c>
    </row>
    <row r="1034" spans="1:10" x14ac:dyDescent="0.35">
      <c r="A1034" s="3" t="s">
        <v>1064</v>
      </c>
      <c r="B1034" s="4">
        <v>43290</v>
      </c>
      <c r="C1034" s="3" t="s">
        <v>34</v>
      </c>
      <c r="D1034" s="3" t="s">
        <v>27</v>
      </c>
      <c r="E1034" s="3">
        <v>4</v>
      </c>
      <c r="F1034" s="3">
        <v>150</v>
      </c>
      <c r="G1034" s="3">
        <v>600</v>
      </c>
      <c r="H1034" s="3">
        <v>0.12</v>
      </c>
      <c r="I1034" s="3">
        <v>72</v>
      </c>
      <c r="J1034" s="3" t="s">
        <v>17</v>
      </c>
    </row>
    <row r="1035" spans="1:10" x14ac:dyDescent="0.35">
      <c r="A1035" s="3" t="s">
        <v>1065</v>
      </c>
      <c r="B1035" s="4">
        <v>43290</v>
      </c>
      <c r="C1035" s="3" t="s">
        <v>30</v>
      </c>
      <c r="D1035" s="3" t="s">
        <v>27</v>
      </c>
      <c r="E1035" s="3">
        <v>14</v>
      </c>
      <c r="F1035" s="3">
        <v>16</v>
      </c>
      <c r="G1035" s="3">
        <v>224</v>
      </c>
      <c r="H1035" s="3">
        <v>0.12</v>
      </c>
      <c r="I1035" s="3">
        <v>26.88</v>
      </c>
      <c r="J1035" s="3" t="s">
        <v>20</v>
      </c>
    </row>
    <row r="1036" spans="1:10" x14ac:dyDescent="0.35">
      <c r="A1036" s="3" t="s">
        <v>1066</v>
      </c>
      <c r="B1036" s="4">
        <v>43290</v>
      </c>
      <c r="C1036" s="3" t="s">
        <v>30</v>
      </c>
      <c r="D1036" s="3" t="s">
        <v>12</v>
      </c>
      <c r="E1036" s="3">
        <v>18</v>
      </c>
      <c r="F1036" s="3">
        <v>16</v>
      </c>
      <c r="G1036" s="3">
        <v>288</v>
      </c>
      <c r="H1036" s="3">
        <v>0.11</v>
      </c>
      <c r="I1036" s="3">
        <v>31.68</v>
      </c>
      <c r="J1036" s="3" t="s">
        <v>22</v>
      </c>
    </row>
    <row r="1037" spans="1:10" x14ac:dyDescent="0.35">
      <c r="A1037" s="3" t="s">
        <v>1067</v>
      </c>
      <c r="B1037" s="4">
        <v>43290</v>
      </c>
      <c r="C1037" s="3" t="s">
        <v>11</v>
      </c>
      <c r="D1037" s="3" t="s">
        <v>31</v>
      </c>
      <c r="E1037" s="3">
        <v>22</v>
      </c>
      <c r="F1037" s="3">
        <v>80</v>
      </c>
      <c r="G1037" s="3">
        <v>1760</v>
      </c>
      <c r="H1037" s="3">
        <v>0.09</v>
      </c>
      <c r="I1037" s="3">
        <v>158.4</v>
      </c>
      <c r="J1037" s="3" t="s">
        <v>25</v>
      </c>
    </row>
    <row r="1038" spans="1:10" x14ac:dyDescent="0.35">
      <c r="A1038" s="3" t="s">
        <v>1068</v>
      </c>
      <c r="B1038" s="4">
        <v>43290</v>
      </c>
      <c r="C1038" s="3" t="s">
        <v>19</v>
      </c>
      <c r="D1038" s="3" t="s">
        <v>16</v>
      </c>
      <c r="E1038" s="3">
        <v>12</v>
      </c>
      <c r="F1038" s="3">
        <v>230</v>
      </c>
      <c r="G1038" s="3">
        <v>2760</v>
      </c>
      <c r="H1038" s="3">
        <v>0.03</v>
      </c>
      <c r="I1038" s="3">
        <v>82.8</v>
      </c>
      <c r="J1038" s="3" t="s">
        <v>28</v>
      </c>
    </row>
    <row r="1039" spans="1:10" x14ac:dyDescent="0.35">
      <c r="A1039" s="3" t="s">
        <v>1069</v>
      </c>
      <c r="B1039" s="4">
        <v>43290</v>
      </c>
      <c r="C1039" s="3" t="s">
        <v>15</v>
      </c>
      <c r="D1039" s="3" t="s">
        <v>16</v>
      </c>
      <c r="E1039" s="3">
        <v>12</v>
      </c>
      <c r="F1039" s="3">
        <v>40</v>
      </c>
      <c r="G1039" s="3">
        <v>480</v>
      </c>
      <c r="H1039" s="3">
        <v>0.1</v>
      </c>
      <c r="I1039" s="3">
        <v>48</v>
      </c>
      <c r="J1039" s="3" t="s">
        <v>32</v>
      </c>
    </row>
    <row r="1040" spans="1:10" x14ac:dyDescent="0.35">
      <c r="A1040" s="3" t="s">
        <v>1070</v>
      </c>
      <c r="B1040" s="4">
        <v>43291</v>
      </c>
      <c r="C1040" s="3" t="s">
        <v>15</v>
      </c>
      <c r="D1040" s="3" t="s">
        <v>31</v>
      </c>
      <c r="E1040" s="3">
        <v>7</v>
      </c>
      <c r="F1040" s="3">
        <v>40</v>
      </c>
      <c r="G1040" s="3">
        <v>280</v>
      </c>
      <c r="H1040" s="3">
        <v>0.12</v>
      </c>
      <c r="I1040" s="3">
        <v>33.6</v>
      </c>
      <c r="J1040" s="3" t="s">
        <v>35</v>
      </c>
    </row>
    <row r="1041" spans="1:10" x14ac:dyDescent="0.35">
      <c r="A1041" s="3" t="s">
        <v>1071</v>
      </c>
      <c r="B1041" s="4">
        <v>43291</v>
      </c>
      <c r="C1041" s="3" t="s">
        <v>11</v>
      </c>
      <c r="D1041" s="3" t="s">
        <v>12</v>
      </c>
      <c r="E1041" s="3">
        <v>12</v>
      </c>
      <c r="F1041" s="3">
        <v>80</v>
      </c>
      <c r="G1041" s="3">
        <v>960</v>
      </c>
      <c r="H1041" s="3">
        <v>0.04</v>
      </c>
      <c r="I1041" s="3">
        <v>38.4</v>
      </c>
      <c r="J1041" s="3" t="s">
        <v>37</v>
      </c>
    </row>
    <row r="1042" spans="1:10" x14ac:dyDescent="0.35">
      <c r="A1042" s="3" t="s">
        <v>1072</v>
      </c>
      <c r="B1042" s="4">
        <v>43291</v>
      </c>
      <c r="C1042" s="3" t="s">
        <v>30</v>
      </c>
      <c r="D1042" s="3" t="s">
        <v>31</v>
      </c>
      <c r="E1042" s="3">
        <v>17</v>
      </c>
      <c r="F1042" s="3">
        <v>16</v>
      </c>
      <c r="G1042" s="3">
        <v>272</v>
      </c>
      <c r="H1042" s="3">
        <v>0.1</v>
      </c>
      <c r="I1042" s="3">
        <v>27.200000000000003</v>
      </c>
      <c r="J1042" s="3" t="s">
        <v>39</v>
      </c>
    </row>
    <row r="1043" spans="1:10" x14ac:dyDescent="0.35">
      <c r="A1043" s="3" t="s">
        <v>1073</v>
      </c>
      <c r="B1043" s="4">
        <v>43291</v>
      </c>
      <c r="C1043" s="3" t="s">
        <v>19</v>
      </c>
      <c r="D1043" s="3" t="s">
        <v>16</v>
      </c>
      <c r="E1043" s="3">
        <v>6</v>
      </c>
      <c r="F1043" s="3">
        <v>230</v>
      </c>
      <c r="G1043" s="3">
        <v>1380</v>
      </c>
      <c r="H1043" s="3">
        <v>0.1</v>
      </c>
      <c r="I1043" s="3">
        <v>138</v>
      </c>
      <c r="J1043" s="3" t="s">
        <v>41</v>
      </c>
    </row>
    <row r="1044" spans="1:10" x14ac:dyDescent="0.35">
      <c r="A1044" s="3" t="s">
        <v>1074</v>
      </c>
      <c r="B1044" s="4">
        <v>43291</v>
      </c>
      <c r="C1044" s="3" t="s">
        <v>15</v>
      </c>
      <c r="D1044" s="3" t="s">
        <v>12</v>
      </c>
      <c r="E1044" s="3">
        <v>11</v>
      </c>
      <c r="F1044" s="3">
        <v>40</v>
      </c>
      <c r="G1044" s="3">
        <v>440</v>
      </c>
      <c r="H1044" s="3">
        <v>0.04</v>
      </c>
      <c r="I1044" s="3">
        <v>17.600000000000001</v>
      </c>
      <c r="J1044" s="3" t="s">
        <v>43</v>
      </c>
    </row>
    <row r="1045" spans="1:10" x14ac:dyDescent="0.35">
      <c r="A1045" s="3" t="s">
        <v>1075</v>
      </c>
      <c r="B1045" s="4">
        <v>43291</v>
      </c>
      <c r="C1045" s="3" t="s">
        <v>30</v>
      </c>
      <c r="D1045" s="3" t="s">
        <v>27</v>
      </c>
      <c r="E1045" s="3">
        <v>10</v>
      </c>
      <c r="F1045" s="3">
        <v>16</v>
      </c>
      <c r="G1045" s="3">
        <v>160</v>
      </c>
      <c r="H1045" s="3">
        <v>0.04</v>
      </c>
      <c r="I1045" s="3">
        <v>6.4</v>
      </c>
      <c r="J1045" s="3" t="s">
        <v>13</v>
      </c>
    </row>
    <row r="1046" spans="1:10" x14ac:dyDescent="0.35">
      <c r="A1046" s="3" t="s">
        <v>1076</v>
      </c>
      <c r="B1046" s="4">
        <v>43291</v>
      </c>
      <c r="C1046" s="3" t="s">
        <v>11</v>
      </c>
      <c r="D1046" s="3" t="s">
        <v>12</v>
      </c>
      <c r="E1046" s="3">
        <v>6</v>
      </c>
      <c r="F1046" s="3">
        <v>80</v>
      </c>
      <c r="G1046" s="3">
        <v>480</v>
      </c>
      <c r="H1046" s="3">
        <v>7.0000000000000007E-2</v>
      </c>
      <c r="I1046" s="3">
        <v>33.6</v>
      </c>
      <c r="J1046" s="3" t="s">
        <v>17</v>
      </c>
    </row>
    <row r="1047" spans="1:10" x14ac:dyDescent="0.35">
      <c r="A1047" s="3" t="s">
        <v>1077</v>
      </c>
      <c r="B1047" s="4">
        <v>43291</v>
      </c>
      <c r="C1047" s="3" t="s">
        <v>15</v>
      </c>
      <c r="D1047" s="3" t="s">
        <v>27</v>
      </c>
      <c r="E1047" s="3">
        <v>11</v>
      </c>
      <c r="F1047" s="3">
        <v>40</v>
      </c>
      <c r="G1047" s="3">
        <v>440</v>
      </c>
      <c r="H1047" s="3">
        <v>0.09</v>
      </c>
      <c r="I1047" s="3">
        <v>39.6</v>
      </c>
      <c r="J1047" s="3" t="s">
        <v>20</v>
      </c>
    </row>
    <row r="1048" spans="1:10" x14ac:dyDescent="0.35">
      <c r="A1048" s="3" t="s">
        <v>1078</v>
      </c>
      <c r="B1048" s="4">
        <v>43291</v>
      </c>
      <c r="C1048" s="3" t="s">
        <v>11</v>
      </c>
      <c r="D1048" s="3" t="s">
        <v>31</v>
      </c>
      <c r="E1048" s="3">
        <v>16</v>
      </c>
      <c r="F1048" s="3">
        <v>80</v>
      </c>
      <c r="G1048" s="3">
        <v>1280</v>
      </c>
      <c r="H1048" s="3">
        <v>0.09</v>
      </c>
      <c r="I1048" s="3">
        <v>115.19999999999999</v>
      </c>
      <c r="J1048" s="3" t="s">
        <v>22</v>
      </c>
    </row>
    <row r="1049" spans="1:10" x14ac:dyDescent="0.35">
      <c r="A1049" s="3" t="s">
        <v>1079</v>
      </c>
      <c r="B1049" s="4">
        <v>43291</v>
      </c>
      <c r="C1049" s="3" t="s">
        <v>15</v>
      </c>
      <c r="D1049" s="3" t="s">
        <v>27</v>
      </c>
      <c r="E1049" s="3">
        <v>13</v>
      </c>
      <c r="F1049" s="3">
        <v>40</v>
      </c>
      <c r="G1049" s="3">
        <v>520</v>
      </c>
      <c r="H1049" s="3">
        <v>0.09</v>
      </c>
      <c r="I1049" s="3">
        <v>46.8</v>
      </c>
      <c r="J1049" s="3" t="s">
        <v>25</v>
      </c>
    </row>
    <row r="1050" spans="1:10" x14ac:dyDescent="0.35">
      <c r="A1050" s="3" t="s">
        <v>1080</v>
      </c>
      <c r="B1050" s="4">
        <v>43291</v>
      </c>
      <c r="C1050" s="3" t="s">
        <v>19</v>
      </c>
      <c r="D1050" s="3" t="s">
        <v>12</v>
      </c>
      <c r="E1050" s="3">
        <v>5</v>
      </c>
      <c r="F1050" s="3">
        <v>230</v>
      </c>
      <c r="G1050" s="3">
        <v>1150</v>
      </c>
      <c r="H1050" s="3">
        <v>0.1</v>
      </c>
      <c r="I1050" s="3">
        <v>115</v>
      </c>
      <c r="J1050" s="3" t="s">
        <v>28</v>
      </c>
    </row>
    <row r="1051" spans="1:10" x14ac:dyDescent="0.35">
      <c r="A1051" s="3" t="s">
        <v>1081</v>
      </c>
      <c r="B1051" s="4">
        <v>43292</v>
      </c>
      <c r="C1051" s="3" t="s">
        <v>15</v>
      </c>
      <c r="D1051" s="3" t="s">
        <v>31</v>
      </c>
      <c r="E1051" s="3">
        <v>7</v>
      </c>
      <c r="F1051" s="3">
        <v>40</v>
      </c>
      <c r="G1051" s="3">
        <v>280</v>
      </c>
      <c r="H1051" s="3">
        <v>0.05</v>
      </c>
      <c r="I1051" s="3">
        <v>14</v>
      </c>
      <c r="J1051" s="3" t="s">
        <v>17</v>
      </c>
    </row>
    <row r="1052" spans="1:10" x14ac:dyDescent="0.35">
      <c r="A1052" s="3" t="s">
        <v>1082</v>
      </c>
      <c r="B1052" s="4">
        <v>43292</v>
      </c>
      <c r="C1052" s="3" t="s">
        <v>11</v>
      </c>
      <c r="D1052" s="3" t="s">
        <v>24</v>
      </c>
      <c r="E1052" s="3">
        <v>14</v>
      </c>
      <c r="F1052" s="3">
        <v>80</v>
      </c>
      <c r="G1052" s="3">
        <v>1120</v>
      </c>
      <c r="H1052" s="3">
        <v>0.1</v>
      </c>
      <c r="I1052" s="3">
        <v>112</v>
      </c>
      <c r="J1052" s="3" t="s">
        <v>20</v>
      </c>
    </row>
    <row r="1053" spans="1:10" x14ac:dyDescent="0.35">
      <c r="A1053" s="3" t="s">
        <v>1083</v>
      </c>
      <c r="B1053" s="4">
        <v>43292</v>
      </c>
      <c r="C1053" s="3" t="s">
        <v>30</v>
      </c>
      <c r="D1053" s="3" t="s">
        <v>31</v>
      </c>
      <c r="E1053" s="3">
        <v>12</v>
      </c>
      <c r="F1053" s="3">
        <v>16</v>
      </c>
      <c r="G1053" s="3">
        <v>192</v>
      </c>
      <c r="H1053" s="3">
        <v>0.04</v>
      </c>
      <c r="I1053" s="3">
        <v>7.68</v>
      </c>
      <c r="J1053" s="3" t="s">
        <v>22</v>
      </c>
    </row>
    <row r="1054" spans="1:10" x14ac:dyDescent="0.35">
      <c r="A1054" s="3" t="s">
        <v>1084</v>
      </c>
      <c r="B1054" s="4">
        <v>43292</v>
      </c>
      <c r="C1054" s="3" t="s">
        <v>19</v>
      </c>
      <c r="D1054" s="3" t="s">
        <v>24</v>
      </c>
      <c r="E1054" s="3">
        <v>14</v>
      </c>
      <c r="F1054" s="3">
        <v>230</v>
      </c>
      <c r="G1054" s="3">
        <v>3220</v>
      </c>
      <c r="H1054" s="3">
        <v>0.03</v>
      </c>
      <c r="I1054" s="3">
        <v>96.6</v>
      </c>
      <c r="J1054" s="3" t="s">
        <v>25</v>
      </c>
    </row>
    <row r="1055" spans="1:10" x14ac:dyDescent="0.35">
      <c r="A1055" s="3" t="s">
        <v>1085</v>
      </c>
      <c r="B1055" s="4">
        <v>43292</v>
      </c>
      <c r="C1055" s="3" t="s">
        <v>11</v>
      </c>
      <c r="D1055" s="3" t="s">
        <v>31</v>
      </c>
      <c r="E1055" s="3">
        <v>21</v>
      </c>
      <c r="F1055" s="3">
        <v>80</v>
      </c>
      <c r="G1055" s="3">
        <v>1680</v>
      </c>
      <c r="H1055" s="3">
        <v>0.09</v>
      </c>
      <c r="I1055" s="3">
        <v>151.19999999999999</v>
      </c>
      <c r="J1055" s="3" t="s">
        <v>28</v>
      </c>
    </row>
    <row r="1056" spans="1:10" x14ac:dyDescent="0.35">
      <c r="A1056" s="3" t="s">
        <v>1086</v>
      </c>
      <c r="B1056" s="4">
        <v>43292</v>
      </c>
      <c r="C1056" s="3" t="s">
        <v>19</v>
      </c>
      <c r="D1056" s="3" t="s">
        <v>24</v>
      </c>
      <c r="E1056" s="3">
        <v>5</v>
      </c>
      <c r="F1056" s="3">
        <v>230</v>
      </c>
      <c r="G1056" s="3">
        <v>1150</v>
      </c>
      <c r="H1056" s="3">
        <v>0.1</v>
      </c>
      <c r="I1056" s="3">
        <v>115</v>
      </c>
      <c r="J1056" s="3" t="s">
        <v>32</v>
      </c>
    </row>
    <row r="1057" spans="1:10" x14ac:dyDescent="0.35">
      <c r="A1057" s="3" t="s">
        <v>1087</v>
      </c>
      <c r="B1057" s="4">
        <v>43292</v>
      </c>
      <c r="C1057" s="3" t="s">
        <v>15</v>
      </c>
      <c r="D1057" s="3" t="s">
        <v>31</v>
      </c>
      <c r="E1057" s="3">
        <v>16</v>
      </c>
      <c r="F1057" s="3">
        <v>40</v>
      </c>
      <c r="G1057" s="3">
        <v>640</v>
      </c>
      <c r="H1057" s="3">
        <v>0.09</v>
      </c>
      <c r="I1057" s="3">
        <v>57.599999999999994</v>
      </c>
      <c r="J1057" s="3" t="s">
        <v>35</v>
      </c>
    </row>
    <row r="1058" spans="1:10" x14ac:dyDescent="0.35">
      <c r="A1058" s="3" t="s">
        <v>1088</v>
      </c>
      <c r="B1058" s="4">
        <v>43292</v>
      </c>
      <c r="C1058" s="3" t="s">
        <v>34</v>
      </c>
      <c r="D1058" s="3" t="s">
        <v>16</v>
      </c>
      <c r="E1058" s="3">
        <v>15</v>
      </c>
      <c r="F1058" s="3">
        <v>150</v>
      </c>
      <c r="G1058" s="3">
        <v>2250</v>
      </c>
      <c r="H1058" s="3">
        <v>0.12</v>
      </c>
      <c r="I1058" s="3">
        <v>270</v>
      </c>
      <c r="J1058" s="3" t="s">
        <v>37</v>
      </c>
    </row>
    <row r="1059" spans="1:10" x14ac:dyDescent="0.35">
      <c r="A1059" s="3" t="s">
        <v>1089</v>
      </c>
      <c r="B1059" s="4">
        <v>43292</v>
      </c>
      <c r="C1059" s="3" t="s">
        <v>30</v>
      </c>
      <c r="D1059" s="3" t="s">
        <v>31</v>
      </c>
      <c r="E1059" s="3">
        <v>23</v>
      </c>
      <c r="F1059" s="3">
        <v>16</v>
      </c>
      <c r="G1059" s="3">
        <v>368</v>
      </c>
      <c r="H1059" s="3">
        <v>0.01</v>
      </c>
      <c r="I1059" s="3">
        <v>3.68</v>
      </c>
      <c r="J1059" s="3" t="s">
        <v>39</v>
      </c>
    </row>
    <row r="1060" spans="1:10" x14ac:dyDescent="0.35">
      <c r="A1060" s="3" t="s">
        <v>1090</v>
      </c>
      <c r="B1060" s="4">
        <v>43292</v>
      </c>
      <c r="C1060" s="3" t="s">
        <v>30</v>
      </c>
      <c r="D1060" s="3" t="s">
        <v>16</v>
      </c>
      <c r="E1060" s="3">
        <v>22</v>
      </c>
      <c r="F1060" s="3">
        <v>16</v>
      </c>
      <c r="G1060" s="3">
        <v>352</v>
      </c>
      <c r="H1060" s="3">
        <v>0.04</v>
      </c>
      <c r="I1060" s="3">
        <v>14.08</v>
      </c>
      <c r="J1060" s="3" t="s">
        <v>41</v>
      </c>
    </row>
    <row r="1061" spans="1:10" x14ac:dyDescent="0.35">
      <c r="A1061" s="3" t="s">
        <v>1091</v>
      </c>
      <c r="B1061" s="4">
        <v>43292</v>
      </c>
      <c r="C1061" s="3" t="s">
        <v>11</v>
      </c>
      <c r="D1061" s="3" t="s">
        <v>12</v>
      </c>
      <c r="E1061" s="3">
        <v>20</v>
      </c>
      <c r="F1061" s="3">
        <v>80</v>
      </c>
      <c r="G1061" s="3">
        <v>1600</v>
      </c>
      <c r="H1061" s="3">
        <v>0.01</v>
      </c>
      <c r="I1061" s="3">
        <v>16</v>
      </c>
      <c r="J1061" s="3" t="s">
        <v>43</v>
      </c>
    </row>
    <row r="1062" spans="1:10" x14ac:dyDescent="0.35">
      <c r="A1062" s="3" t="s">
        <v>1092</v>
      </c>
      <c r="B1062" s="4">
        <v>43292</v>
      </c>
      <c r="C1062" s="3" t="s">
        <v>15</v>
      </c>
      <c r="D1062" s="3" t="s">
        <v>27</v>
      </c>
      <c r="E1062" s="3">
        <v>6</v>
      </c>
      <c r="F1062" s="3">
        <v>40</v>
      </c>
      <c r="G1062" s="3">
        <v>240</v>
      </c>
      <c r="H1062" s="3">
        <v>7.0000000000000007E-2</v>
      </c>
      <c r="I1062" s="3">
        <v>16.8</v>
      </c>
      <c r="J1062" s="3" t="s">
        <v>13</v>
      </c>
    </row>
    <row r="1063" spans="1:10" x14ac:dyDescent="0.35">
      <c r="A1063" s="3" t="s">
        <v>1093</v>
      </c>
      <c r="B1063" s="4">
        <v>43293</v>
      </c>
      <c r="C1063" s="3" t="s">
        <v>34</v>
      </c>
      <c r="D1063" s="3" t="s">
        <v>16</v>
      </c>
      <c r="E1063" s="3">
        <v>10</v>
      </c>
      <c r="F1063" s="3">
        <v>150</v>
      </c>
      <c r="G1063" s="3">
        <v>1500</v>
      </c>
      <c r="H1063" s="3">
        <v>0.01</v>
      </c>
      <c r="I1063" s="3">
        <v>15</v>
      </c>
      <c r="J1063" s="3" t="s">
        <v>17</v>
      </c>
    </row>
    <row r="1064" spans="1:10" x14ac:dyDescent="0.35">
      <c r="A1064" s="3" t="s">
        <v>1094</v>
      </c>
      <c r="B1064" s="4">
        <v>43293</v>
      </c>
      <c r="C1064" s="3" t="s">
        <v>11</v>
      </c>
      <c r="D1064" s="3" t="s">
        <v>27</v>
      </c>
      <c r="E1064" s="3">
        <v>17</v>
      </c>
      <c r="F1064" s="3">
        <v>80</v>
      </c>
      <c r="G1064" s="3">
        <v>1360</v>
      </c>
      <c r="H1064" s="3">
        <v>0.05</v>
      </c>
      <c r="I1064" s="3">
        <v>68</v>
      </c>
      <c r="J1064" s="3" t="s">
        <v>20</v>
      </c>
    </row>
    <row r="1065" spans="1:10" x14ac:dyDescent="0.35">
      <c r="A1065" s="3" t="s">
        <v>1095</v>
      </c>
      <c r="B1065" s="4">
        <v>43293</v>
      </c>
      <c r="C1065" s="3" t="s">
        <v>34</v>
      </c>
      <c r="D1065" s="3" t="s">
        <v>12</v>
      </c>
      <c r="E1065" s="3">
        <v>13</v>
      </c>
      <c r="F1065" s="3">
        <v>150</v>
      </c>
      <c r="G1065" s="3">
        <v>1950</v>
      </c>
      <c r="H1065" s="3">
        <v>0.05</v>
      </c>
      <c r="I1065" s="3">
        <v>97.5</v>
      </c>
      <c r="J1065" s="3" t="s">
        <v>22</v>
      </c>
    </row>
    <row r="1066" spans="1:10" x14ac:dyDescent="0.35">
      <c r="A1066" s="3" t="s">
        <v>1096</v>
      </c>
      <c r="B1066" s="4">
        <v>43293</v>
      </c>
      <c r="C1066" s="3" t="s">
        <v>19</v>
      </c>
      <c r="D1066" s="3" t="s">
        <v>27</v>
      </c>
      <c r="E1066" s="3">
        <v>8</v>
      </c>
      <c r="F1066" s="3">
        <v>230</v>
      </c>
      <c r="G1066" s="3">
        <v>1840</v>
      </c>
      <c r="H1066" s="3">
        <v>0.05</v>
      </c>
      <c r="I1066" s="3">
        <v>92</v>
      </c>
      <c r="J1066" s="3" t="s">
        <v>25</v>
      </c>
    </row>
    <row r="1067" spans="1:10" x14ac:dyDescent="0.35">
      <c r="A1067" s="3" t="s">
        <v>1097</v>
      </c>
      <c r="B1067" s="4">
        <v>43293</v>
      </c>
      <c r="C1067" s="3" t="s">
        <v>30</v>
      </c>
      <c r="D1067" s="3" t="s">
        <v>12</v>
      </c>
      <c r="E1067" s="3">
        <v>10</v>
      </c>
      <c r="F1067" s="3">
        <v>16</v>
      </c>
      <c r="G1067" s="3">
        <v>160</v>
      </c>
      <c r="H1067" s="3">
        <v>0.08</v>
      </c>
      <c r="I1067" s="3">
        <v>12.8</v>
      </c>
      <c r="J1067" s="3" t="s">
        <v>28</v>
      </c>
    </row>
    <row r="1068" spans="1:10" x14ac:dyDescent="0.35">
      <c r="A1068" s="3" t="s">
        <v>1098</v>
      </c>
      <c r="B1068" s="4">
        <v>43293</v>
      </c>
      <c r="C1068" s="3" t="s">
        <v>15</v>
      </c>
      <c r="D1068" s="3" t="s">
        <v>16</v>
      </c>
      <c r="E1068" s="3">
        <v>4</v>
      </c>
      <c r="F1068" s="3">
        <v>40</v>
      </c>
      <c r="G1068" s="3">
        <v>160</v>
      </c>
      <c r="H1068" s="3">
        <v>0.06</v>
      </c>
      <c r="I1068" s="3">
        <v>9.6</v>
      </c>
      <c r="J1068" s="3" t="s">
        <v>17</v>
      </c>
    </row>
    <row r="1069" spans="1:10" x14ac:dyDescent="0.35">
      <c r="A1069" s="3" t="s">
        <v>1099</v>
      </c>
      <c r="B1069" s="4">
        <v>43293</v>
      </c>
      <c r="C1069" s="3" t="s">
        <v>15</v>
      </c>
      <c r="D1069" s="3" t="s">
        <v>31</v>
      </c>
      <c r="E1069" s="3">
        <v>18</v>
      </c>
      <c r="F1069" s="3">
        <v>40</v>
      </c>
      <c r="G1069" s="3">
        <v>720</v>
      </c>
      <c r="H1069" s="3">
        <v>0.06</v>
      </c>
      <c r="I1069" s="3">
        <v>43.199999999999996</v>
      </c>
      <c r="J1069" s="3" t="s">
        <v>20</v>
      </c>
    </row>
    <row r="1070" spans="1:10" x14ac:dyDescent="0.35">
      <c r="A1070" s="3" t="s">
        <v>1100</v>
      </c>
      <c r="B1070" s="4">
        <v>43293</v>
      </c>
      <c r="C1070" s="3" t="s">
        <v>34</v>
      </c>
      <c r="D1070" s="3" t="s">
        <v>27</v>
      </c>
      <c r="E1070" s="3">
        <v>15</v>
      </c>
      <c r="F1070" s="3">
        <v>150</v>
      </c>
      <c r="G1070" s="3">
        <v>2250</v>
      </c>
      <c r="H1070" s="3">
        <v>0.05</v>
      </c>
      <c r="I1070" s="3">
        <v>112.5</v>
      </c>
      <c r="J1070" s="3" t="s">
        <v>22</v>
      </c>
    </row>
    <row r="1071" spans="1:10" x14ac:dyDescent="0.35">
      <c r="A1071" s="3" t="s">
        <v>1101</v>
      </c>
      <c r="B1071" s="4">
        <v>43293</v>
      </c>
      <c r="C1071" s="3" t="s">
        <v>34</v>
      </c>
      <c r="D1071" s="3" t="s">
        <v>27</v>
      </c>
      <c r="E1071" s="3">
        <v>3</v>
      </c>
      <c r="F1071" s="3">
        <v>150</v>
      </c>
      <c r="G1071" s="3">
        <v>450</v>
      </c>
      <c r="H1071" s="3">
        <v>0.01</v>
      </c>
      <c r="I1071" s="3">
        <v>4.5</v>
      </c>
      <c r="J1071" s="3" t="s">
        <v>25</v>
      </c>
    </row>
    <row r="1072" spans="1:10" x14ac:dyDescent="0.35">
      <c r="A1072" s="3" t="s">
        <v>1102</v>
      </c>
      <c r="B1072" s="4">
        <v>43293</v>
      </c>
      <c r="C1072" s="3" t="s">
        <v>30</v>
      </c>
      <c r="D1072" s="3" t="s">
        <v>12</v>
      </c>
      <c r="E1072" s="3">
        <v>12</v>
      </c>
      <c r="F1072" s="3">
        <v>16</v>
      </c>
      <c r="G1072" s="3">
        <v>192</v>
      </c>
      <c r="H1072" s="3">
        <v>0.11</v>
      </c>
      <c r="I1072" s="3">
        <v>21.12</v>
      </c>
      <c r="J1072" s="3" t="s">
        <v>28</v>
      </c>
    </row>
    <row r="1073" spans="1:10" x14ac:dyDescent="0.35">
      <c r="A1073" s="3" t="s">
        <v>1103</v>
      </c>
      <c r="B1073" s="4">
        <v>43294</v>
      </c>
      <c r="C1073" s="3" t="s">
        <v>11</v>
      </c>
      <c r="D1073" s="3" t="s">
        <v>31</v>
      </c>
      <c r="E1073" s="3">
        <v>17</v>
      </c>
      <c r="F1073" s="3">
        <v>80</v>
      </c>
      <c r="G1073" s="3">
        <v>1360</v>
      </c>
      <c r="H1073" s="3">
        <v>7.0000000000000007E-2</v>
      </c>
      <c r="I1073" s="3">
        <v>95.2</v>
      </c>
      <c r="J1073" s="3" t="s">
        <v>32</v>
      </c>
    </row>
    <row r="1074" spans="1:10" x14ac:dyDescent="0.35">
      <c r="A1074" s="3" t="s">
        <v>1104</v>
      </c>
      <c r="B1074" s="4">
        <v>43294</v>
      </c>
      <c r="C1074" s="3" t="s">
        <v>19</v>
      </c>
      <c r="D1074" s="3" t="s">
        <v>12</v>
      </c>
      <c r="E1074" s="3">
        <v>3</v>
      </c>
      <c r="F1074" s="3">
        <v>230</v>
      </c>
      <c r="G1074" s="3">
        <v>690</v>
      </c>
      <c r="H1074" s="3">
        <v>0.06</v>
      </c>
      <c r="I1074" s="3">
        <v>41.4</v>
      </c>
      <c r="J1074" s="3" t="s">
        <v>35</v>
      </c>
    </row>
    <row r="1075" spans="1:10" x14ac:dyDescent="0.35">
      <c r="A1075" s="3" t="s">
        <v>1105</v>
      </c>
      <c r="B1075" s="4">
        <v>43294</v>
      </c>
      <c r="C1075" s="3" t="s">
        <v>11</v>
      </c>
      <c r="D1075" s="3" t="s">
        <v>24</v>
      </c>
      <c r="E1075" s="3">
        <v>20</v>
      </c>
      <c r="F1075" s="3">
        <v>80</v>
      </c>
      <c r="G1075" s="3">
        <v>1600</v>
      </c>
      <c r="H1075" s="3">
        <v>7.0000000000000007E-2</v>
      </c>
      <c r="I1075" s="3">
        <v>112.00000000000001</v>
      </c>
      <c r="J1075" s="3" t="s">
        <v>37</v>
      </c>
    </row>
    <row r="1076" spans="1:10" x14ac:dyDescent="0.35">
      <c r="A1076" s="3" t="s">
        <v>1106</v>
      </c>
      <c r="B1076" s="4">
        <v>43294</v>
      </c>
      <c r="C1076" s="3" t="s">
        <v>19</v>
      </c>
      <c r="D1076" s="3" t="s">
        <v>16</v>
      </c>
      <c r="E1076" s="3">
        <v>14</v>
      </c>
      <c r="F1076" s="3">
        <v>230</v>
      </c>
      <c r="G1076" s="3">
        <v>3220</v>
      </c>
      <c r="H1076" s="3">
        <v>0.05</v>
      </c>
      <c r="I1076" s="3">
        <v>161</v>
      </c>
      <c r="J1076" s="3" t="s">
        <v>39</v>
      </c>
    </row>
    <row r="1077" spans="1:10" x14ac:dyDescent="0.35">
      <c r="A1077" s="3" t="s">
        <v>1107</v>
      </c>
      <c r="B1077" s="4">
        <v>43294</v>
      </c>
      <c r="C1077" s="3" t="s">
        <v>15</v>
      </c>
      <c r="D1077" s="3" t="s">
        <v>31</v>
      </c>
      <c r="E1077" s="3">
        <v>16</v>
      </c>
      <c r="F1077" s="3">
        <v>40</v>
      </c>
      <c r="G1077" s="3">
        <v>640</v>
      </c>
      <c r="H1077" s="3">
        <v>0.09</v>
      </c>
      <c r="I1077" s="3">
        <v>57.599999999999994</v>
      </c>
      <c r="J1077" s="3" t="s">
        <v>41</v>
      </c>
    </row>
    <row r="1078" spans="1:10" x14ac:dyDescent="0.35">
      <c r="A1078" s="3" t="s">
        <v>1108</v>
      </c>
      <c r="B1078" s="4">
        <v>43294</v>
      </c>
      <c r="C1078" s="3" t="s">
        <v>30</v>
      </c>
      <c r="D1078" s="3" t="s">
        <v>16</v>
      </c>
      <c r="E1078" s="3">
        <v>7</v>
      </c>
      <c r="F1078" s="3">
        <v>16</v>
      </c>
      <c r="G1078" s="3">
        <v>112</v>
      </c>
      <c r="H1078" s="3">
        <v>0.08</v>
      </c>
      <c r="I1078" s="3">
        <v>8.9600000000000009</v>
      </c>
      <c r="J1078" s="3" t="s">
        <v>43</v>
      </c>
    </row>
    <row r="1079" spans="1:10" x14ac:dyDescent="0.35">
      <c r="A1079" s="3" t="s">
        <v>1109</v>
      </c>
      <c r="B1079" s="4">
        <v>43294</v>
      </c>
      <c r="C1079" s="3" t="s">
        <v>15</v>
      </c>
      <c r="D1079" s="3" t="s">
        <v>16</v>
      </c>
      <c r="E1079" s="3">
        <v>19</v>
      </c>
      <c r="F1079" s="3">
        <v>40</v>
      </c>
      <c r="G1079" s="3">
        <v>760</v>
      </c>
      <c r="H1079" s="3">
        <v>0.1</v>
      </c>
      <c r="I1079" s="3">
        <v>76</v>
      </c>
      <c r="J1079" s="3" t="s">
        <v>13</v>
      </c>
    </row>
    <row r="1080" spans="1:10" x14ac:dyDescent="0.35">
      <c r="A1080" s="3" t="s">
        <v>1110</v>
      </c>
      <c r="B1080" s="4">
        <v>43294</v>
      </c>
      <c r="C1080" s="3" t="s">
        <v>19</v>
      </c>
      <c r="D1080" s="3" t="s">
        <v>27</v>
      </c>
      <c r="E1080" s="3">
        <v>7</v>
      </c>
      <c r="F1080" s="3">
        <v>230</v>
      </c>
      <c r="G1080" s="3">
        <v>1610</v>
      </c>
      <c r="H1080" s="3">
        <v>0.06</v>
      </c>
      <c r="I1080" s="3">
        <v>96.6</v>
      </c>
      <c r="J1080" s="3" t="s">
        <v>17</v>
      </c>
    </row>
    <row r="1081" spans="1:10" x14ac:dyDescent="0.35">
      <c r="A1081" s="3" t="s">
        <v>1111</v>
      </c>
      <c r="B1081" s="4">
        <v>43294</v>
      </c>
      <c r="C1081" s="3" t="s">
        <v>15</v>
      </c>
      <c r="D1081" s="3" t="s">
        <v>31</v>
      </c>
      <c r="E1081" s="3">
        <v>20</v>
      </c>
      <c r="F1081" s="3">
        <v>40</v>
      </c>
      <c r="G1081" s="3">
        <v>800</v>
      </c>
      <c r="H1081" s="3">
        <v>0.03</v>
      </c>
      <c r="I1081" s="3">
        <v>24</v>
      </c>
      <c r="J1081" s="3" t="s">
        <v>20</v>
      </c>
    </row>
    <row r="1082" spans="1:10" x14ac:dyDescent="0.35">
      <c r="A1082" s="3" t="s">
        <v>1112</v>
      </c>
      <c r="B1082" s="4">
        <v>43294</v>
      </c>
      <c r="C1082" s="3" t="s">
        <v>30</v>
      </c>
      <c r="D1082" s="3" t="s">
        <v>24</v>
      </c>
      <c r="E1082" s="3">
        <v>11</v>
      </c>
      <c r="F1082" s="3">
        <v>16</v>
      </c>
      <c r="G1082" s="3">
        <v>176</v>
      </c>
      <c r="H1082" s="3">
        <v>0.12</v>
      </c>
      <c r="I1082" s="3">
        <v>21.119999999999997</v>
      </c>
      <c r="J1082" s="3" t="s">
        <v>22</v>
      </c>
    </row>
    <row r="1083" spans="1:10" x14ac:dyDescent="0.35">
      <c r="A1083" s="3" t="s">
        <v>1113</v>
      </c>
      <c r="B1083" s="4">
        <v>43294</v>
      </c>
      <c r="C1083" s="3" t="s">
        <v>11</v>
      </c>
      <c r="D1083" s="3" t="s">
        <v>31</v>
      </c>
      <c r="E1083" s="3">
        <v>16</v>
      </c>
      <c r="F1083" s="3">
        <v>80</v>
      </c>
      <c r="G1083" s="3">
        <v>1280</v>
      </c>
      <c r="H1083" s="3">
        <v>0.09</v>
      </c>
      <c r="I1083" s="3">
        <v>115.19999999999999</v>
      </c>
      <c r="J1083" s="3" t="s">
        <v>25</v>
      </c>
    </row>
    <row r="1084" spans="1:10" x14ac:dyDescent="0.35">
      <c r="A1084" s="3" t="s">
        <v>1114</v>
      </c>
      <c r="B1084" s="4">
        <v>43294</v>
      </c>
      <c r="C1084" s="3" t="s">
        <v>30</v>
      </c>
      <c r="D1084" s="3" t="s">
        <v>12</v>
      </c>
      <c r="E1084" s="3">
        <v>21</v>
      </c>
      <c r="F1084" s="3">
        <v>16</v>
      </c>
      <c r="G1084" s="3">
        <v>336</v>
      </c>
      <c r="H1084" s="3">
        <v>0.09</v>
      </c>
      <c r="I1084" s="3">
        <v>30.24</v>
      </c>
      <c r="J1084" s="3" t="s">
        <v>28</v>
      </c>
    </row>
    <row r="1085" spans="1:10" x14ac:dyDescent="0.35">
      <c r="A1085" s="3" t="s">
        <v>1115</v>
      </c>
      <c r="B1085" s="4">
        <v>43294</v>
      </c>
      <c r="C1085" s="3" t="s">
        <v>30</v>
      </c>
      <c r="D1085" s="3" t="s">
        <v>12</v>
      </c>
      <c r="E1085" s="3">
        <v>22</v>
      </c>
      <c r="F1085" s="3">
        <v>16</v>
      </c>
      <c r="G1085" s="3">
        <v>352</v>
      </c>
      <c r="H1085" s="3">
        <v>0.01</v>
      </c>
      <c r="I1085" s="3">
        <v>3.52</v>
      </c>
      <c r="J1085" s="3" t="s">
        <v>17</v>
      </c>
    </row>
    <row r="1086" spans="1:10" x14ac:dyDescent="0.35">
      <c r="A1086" s="3" t="s">
        <v>1116</v>
      </c>
      <c r="B1086" s="4">
        <v>43294</v>
      </c>
      <c r="C1086" s="3" t="s">
        <v>19</v>
      </c>
      <c r="D1086" s="3" t="s">
        <v>27</v>
      </c>
      <c r="E1086" s="3">
        <v>23</v>
      </c>
      <c r="F1086" s="3">
        <v>230</v>
      </c>
      <c r="G1086" s="3">
        <v>5290</v>
      </c>
      <c r="H1086" s="3">
        <v>0.06</v>
      </c>
      <c r="I1086" s="3">
        <v>317.39999999999998</v>
      </c>
      <c r="J1086" s="3" t="s">
        <v>20</v>
      </c>
    </row>
    <row r="1087" spans="1:10" x14ac:dyDescent="0.35">
      <c r="A1087" s="3" t="s">
        <v>1117</v>
      </c>
      <c r="B1087" s="4">
        <v>43294</v>
      </c>
      <c r="C1087" s="3" t="s">
        <v>34</v>
      </c>
      <c r="D1087" s="3" t="s">
        <v>12</v>
      </c>
      <c r="E1087" s="3">
        <v>9</v>
      </c>
      <c r="F1087" s="3">
        <v>150</v>
      </c>
      <c r="G1087" s="3">
        <v>1350</v>
      </c>
      <c r="H1087" s="3">
        <v>0.1</v>
      </c>
      <c r="I1087" s="3">
        <v>135</v>
      </c>
      <c r="J1087" s="3" t="s">
        <v>22</v>
      </c>
    </row>
    <row r="1088" spans="1:10" x14ac:dyDescent="0.35">
      <c r="A1088" s="3" t="s">
        <v>1118</v>
      </c>
      <c r="B1088" s="4">
        <v>43294</v>
      </c>
      <c r="C1088" s="3" t="s">
        <v>34</v>
      </c>
      <c r="D1088" s="3" t="s">
        <v>24</v>
      </c>
      <c r="E1088" s="3">
        <v>9</v>
      </c>
      <c r="F1088" s="3">
        <v>150</v>
      </c>
      <c r="G1088" s="3">
        <v>1350</v>
      </c>
      <c r="H1088" s="3">
        <v>0.06</v>
      </c>
      <c r="I1088" s="3">
        <v>81</v>
      </c>
      <c r="J1088" s="3" t="s">
        <v>25</v>
      </c>
    </row>
    <row r="1089" spans="1:10" x14ac:dyDescent="0.35">
      <c r="A1089" s="3" t="s">
        <v>1119</v>
      </c>
      <c r="B1089" s="4">
        <v>43295</v>
      </c>
      <c r="C1089" s="3" t="s">
        <v>19</v>
      </c>
      <c r="D1089" s="3" t="s">
        <v>12</v>
      </c>
      <c r="E1089" s="3">
        <v>9</v>
      </c>
      <c r="F1089" s="3">
        <v>230</v>
      </c>
      <c r="G1089" s="3">
        <v>2070</v>
      </c>
      <c r="H1089" s="3">
        <v>7.0000000000000007E-2</v>
      </c>
      <c r="I1089" s="3">
        <v>144.9</v>
      </c>
      <c r="J1089" s="3" t="s">
        <v>28</v>
      </c>
    </row>
    <row r="1090" spans="1:10" x14ac:dyDescent="0.35">
      <c r="A1090" s="3" t="s">
        <v>1120</v>
      </c>
      <c r="B1090" s="4">
        <v>43295</v>
      </c>
      <c r="C1090" s="3" t="s">
        <v>11</v>
      </c>
      <c r="D1090" s="3" t="s">
        <v>24</v>
      </c>
      <c r="E1090" s="3">
        <v>10</v>
      </c>
      <c r="F1090" s="3">
        <v>80</v>
      </c>
      <c r="G1090" s="3">
        <v>800</v>
      </c>
      <c r="H1090" s="3">
        <v>0.08</v>
      </c>
      <c r="I1090" s="3">
        <v>64</v>
      </c>
      <c r="J1090" s="3" t="s">
        <v>32</v>
      </c>
    </row>
    <row r="1091" spans="1:10" x14ac:dyDescent="0.35">
      <c r="A1091" s="3" t="s">
        <v>1121</v>
      </c>
      <c r="B1091" s="4">
        <v>43295</v>
      </c>
      <c r="C1091" s="3" t="s">
        <v>30</v>
      </c>
      <c r="D1091" s="3" t="s">
        <v>24</v>
      </c>
      <c r="E1091" s="3">
        <v>23</v>
      </c>
      <c r="F1091" s="3">
        <v>16</v>
      </c>
      <c r="G1091" s="3">
        <v>368</v>
      </c>
      <c r="H1091" s="3">
        <v>0.11</v>
      </c>
      <c r="I1091" s="3">
        <v>40.479999999999997</v>
      </c>
      <c r="J1091" s="3" t="s">
        <v>35</v>
      </c>
    </row>
    <row r="1092" spans="1:10" x14ac:dyDescent="0.35">
      <c r="A1092" s="3" t="s">
        <v>1122</v>
      </c>
      <c r="B1092" s="4">
        <v>43295</v>
      </c>
      <c r="C1092" s="3" t="s">
        <v>11</v>
      </c>
      <c r="D1092" s="3" t="s">
        <v>27</v>
      </c>
      <c r="E1092" s="3">
        <v>22</v>
      </c>
      <c r="F1092" s="3">
        <v>80</v>
      </c>
      <c r="G1092" s="3">
        <v>1760</v>
      </c>
      <c r="H1092" s="3">
        <v>0.03</v>
      </c>
      <c r="I1092" s="3">
        <v>52.8</v>
      </c>
      <c r="J1092" s="3" t="s">
        <v>37</v>
      </c>
    </row>
    <row r="1093" spans="1:10" x14ac:dyDescent="0.35">
      <c r="A1093" s="3" t="s">
        <v>1123</v>
      </c>
      <c r="B1093" s="4">
        <v>43295</v>
      </c>
      <c r="C1093" s="3" t="s">
        <v>11</v>
      </c>
      <c r="D1093" s="3" t="s">
        <v>27</v>
      </c>
      <c r="E1093" s="3">
        <v>4</v>
      </c>
      <c r="F1093" s="3">
        <v>80</v>
      </c>
      <c r="G1093" s="3">
        <v>320</v>
      </c>
      <c r="H1093" s="3">
        <v>0.11</v>
      </c>
      <c r="I1093" s="3">
        <v>35.200000000000003</v>
      </c>
      <c r="J1093" s="3" t="s">
        <v>39</v>
      </c>
    </row>
    <row r="1094" spans="1:10" x14ac:dyDescent="0.35">
      <c r="A1094" s="3" t="s">
        <v>1124</v>
      </c>
      <c r="B1094" s="4">
        <v>43295</v>
      </c>
      <c r="C1094" s="3" t="s">
        <v>30</v>
      </c>
      <c r="D1094" s="3" t="s">
        <v>12</v>
      </c>
      <c r="E1094" s="3">
        <v>22</v>
      </c>
      <c r="F1094" s="3">
        <v>16</v>
      </c>
      <c r="G1094" s="3">
        <v>352</v>
      </c>
      <c r="H1094" s="3">
        <v>0.06</v>
      </c>
      <c r="I1094" s="3">
        <v>21.119999999999997</v>
      </c>
      <c r="J1094" s="3" t="s">
        <v>41</v>
      </c>
    </row>
    <row r="1095" spans="1:10" x14ac:dyDescent="0.35">
      <c r="A1095" s="3" t="s">
        <v>1125</v>
      </c>
      <c r="B1095" s="4">
        <v>43295</v>
      </c>
      <c r="C1095" s="3" t="s">
        <v>15</v>
      </c>
      <c r="D1095" s="3" t="s">
        <v>16</v>
      </c>
      <c r="E1095" s="3">
        <v>15</v>
      </c>
      <c r="F1095" s="3">
        <v>40</v>
      </c>
      <c r="G1095" s="3">
        <v>600</v>
      </c>
      <c r="H1095" s="3">
        <v>0.02</v>
      </c>
      <c r="I1095" s="3">
        <v>12</v>
      </c>
      <c r="J1095" s="3" t="s">
        <v>43</v>
      </c>
    </row>
    <row r="1096" spans="1:10" x14ac:dyDescent="0.35">
      <c r="A1096" s="3" t="s">
        <v>1126</v>
      </c>
      <c r="B1096" s="4">
        <v>43295</v>
      </c>
      <c r="C1096" s="3" t="s">
        <v>15</v>
      </c>
      <c r="D1096" s="3" t="s">
        <v>31</v>
      </c>
      <c r="E1096" s="3">
        <v>7</v>
      </c>
      <c r="F1096" s="3">
        <v>40</v>
      </c>
      <c r="G1096" s="3">
        <v>280</v>
      </c>
      <c r="H1096" s="3">
        <v>0.04</v>
      </c>
      <c r="I1096" s="3">
        <v>11.200000000000001</v>
      </c>
      <c r="J1096" s="3" t="s">
        <v>13</v>
      </c>
    </row>
    <row r="1097" spans="1:10" x14ac:dyDescent="0.35">
      <c r="A1097" s="3" t="s">
        <v>1127</v>
      </c>
      <c r="B1097" s="4">
        <v>43295</v>
      </c>
      <c r="C1097" s="3" t="s">
        <v>30</v>
      </c>
      <c r="D1097" s="3" t="s">
        <v>31</v>
      </c>
      <c r="E1097" s="3">
        <v>2</v>
      </c>
      <c r="F1097" s="3">
        <v>16</v>
      </c>
      <c r="G1097" s="3">
        <v>32</v>
      </c>
      <c r="H1097" s="3">
        <v>0.04</v>
      </c>
      <c r="I1097" s="3">
        <v>1.28</v>
      </c>
      <c r="J1097" s="3" t="s">
        <v>17</v>
      </c>
    </row>
    <row r="1098" spans="1:10" x14ac:dyDescent="0.35">
      <c r="A1098" s="3" t="s">
        <v>1128</v>
      </c>
      <c r="B1098" s="4">
        <v>43295</v>
      </c>
      <c r="C1098" s="3" t="s">
        <v>11</v>
      </c>
      <c r="D1098" s="3" t="s">
        <v>27</v>
      </c>
      <c r="E1098" s="3">
        <v>7</v>
      </c>
      <c r="F1098" s="3">
        <v>80</v>
      </c>
      <c r="G1098" s="3">
        <v>560</v>
      </c>
      <c r="H1098" s="3">
        <v>0.02</v>
      </c>
      <c r="I1098" s="3">
        <v>11.200000000000001</v>
      </c>
      <c r="J1098" s="3" t="s">
        <v>20</v>
      </c>
    </row>
    <row r="1099" spans="1:10" x14ac:dyDescent="0.35">
      <c r="A1099" s="3" t="s">
        <v>1129</v>
      </c>
      <c r="B1099" s="4">
        <v>43296</v>
      </c>
      <c r="C1099" s="3" t="s">
        <v>30</v>
      </c>
      <c r="D1099" s="3" t="s">
        <v>31</v>
      </c>
      <c r="E1099" s="3">
        <v>22</v>
      </c>
      <c r="F1099" s="3">
        <v>16</v>
      </c>
      <c r="G1099" s="3">
        <v>352</v>
      </c>
      <c r="H1099" s="3">
        <v>0.12</v>
      </c>
      <c r="I1099" s="3">
        <v>42.239999999999995</v>
      </c>
      <c r="J1099" s="3" t="s">
        <v>22</v>
      </c>
    </row>
    <row r="1100" spans="1:10" x14ac:dyDescent="0.35">
      <c r="A1100" s="3" t="s">
        <v>1130</v>
      </c>
      <c r="B1100" s="4">
        <v>43296</v>
      </c>
      <c r="C1100" s="3" t="s">
        <v>15</v>
      </c>
      <c r="D1100" s="3" t="s">
        <v>16</v>
      </c>
      <c r="E1100" s="3">
        <v>21</v>
      </c>
      <c r="F1100" s="3">
        <v>40</v>
      </c>
      <c r="G1100" s="3">
        <v>840</v>
      </c>
      <c r="H1100" s="3">
        <v>0.03</v>
      </c>
      <c r="I1100" s="3">
        <v>25.2</v>
      </c>
      <c r="J1100" s="3" t="s">
        <v>25</v>
      </c>
    </row>
    <row r="1101" spans="1:10" x14ac:dyDescent="0.35">
      <c r="A1101" s="3" t="s">
        <v>1131</v>
      </c>
      <c r="B1101" s="4">
        <v>43296</v>
      </c>
      <c r="C1101" s="3" t="s">
        <v>11</v>
      </c>
      <c r="D1101" s="3" t="s">
        <v>12</v>
      </c>
      <c r="E1101" s="3">
        <v>6</v>
      </c>
      <c r="F1101" s="3">
        <v>80</v>
      </c>
      <c r="G1101" s="3">
        <v>480</v>
      </c>
      <c r="H1101" s="3">
        <v>0.01</v>
      </c>
      <c r="I1101" s="3">
        <v>4.8</v>
      </c>
      <c r="J1101" s="3" t="s">
        <v>28</v>
      </c>
    </row>
    <row r="1102" spans="1:10" x14ac:dyDescent="0.35">
      <c r="A1102" s="3" t="s">
        <v>1132</v>
      </c>
      <c r="B1102" s="4">
        <v>43296</v>
      </c>
      <c r="C1102" s="3" t="s">
        <v>11</v>
      </c>
      <c r="D1102" s="3" t="s">
        <v>31</v>
      </c>
      <c r="E1102" s="3">
        <v>13</v>
      </c>
      <c r="F1102" s="3">
        <v>80</v>
      </c>
      <c r="G1102" s="3">
        <v>1040</v>
      </c>
      <c r="H1102" s="3">
        <v>0.05</v>
      </c>
      <c r="I1102" s="3">
        <v>52</v>
      </c>
      <c r="J1102" s="3" t="s">
        <v>17</v>
      </c>
    </row>
    <row r="1103" spans="1:10" x14ac:dyDescent="0.35">
      <c r="A1103" s="3" t="s">
        <v>1133</v>
      </c>
      <c r="B1103" s="4">
        <v>43296</v>
      </c>
      <c r="C1103" s="3" t="s">
        <v>11</v>
      </c>
      <c r="D1103" s="3" t="s">
        <v>27</v>
      </c>
      <c r="E1103" s="3">
        <v>11</v>
      </c>
      <c r="F1103" s="3">
        <v>80</v>
      </c>
      <c r="G1103" s="3">
        <v>880</v>
      </c>
      <c r="H1103" s="3">
        <v>0.01</v>
      </c>
      <c r="I1103" s="3">
        <v>8.8000000000000007</v>
      </c>
      <c r="J1103" s="3" t="s">
        <v>20</v>
      </c>
    </row>
    <row r="1104" spans="1:10" x14ac:dyDescent="0.35">
      <c r="A1104" s="3" t="s">
        <v>1134</v>
      </c>
      <c r="B1104" s="4">
        <v>43296</v>
      </c>
      <c r="C1104" s="3" t="s">
        <v>15</v>
      </c>
      <c r="D1104" s="3" t="s">
        <v>12</v>
      </c>
      <c r="E1104" s="3">
        <v>18</v>
      </c>
      <c r="F1104" s="3">
        <v>40</v>
      </c>
      <c r="G1104" s="3">
        <v>720</v>
      </c>
      <c r="H1104" s="3">
        <v>0.06</v>
      </c>
      <c r="I1104" s="3">
        <v>43.199999999999996</v>
      </c>
      <c r="J1104" s="3" t="s">
        <v>22</v>
      </c>
    </row>
    <row r="1105" spans="1:10" x14ac:dyDescent="0.35">
      <c r="A1105" s="3" t="s">
        <v>1135</v>
      </c>
      <c r="B1105" s="4">
        <v>43296</v>
      </c>
      <c r="C1105" s="3" t="s">
        <v>34</v>
      </c>
      <c r="D1105" s="3" t="s">
        <v>27</v>
      </c>
      <c r="E1105" s="3">
        <v>7</v>
      </c>
      <c r="F1105" s="3">
        <v>150</v>
      </c>
      <c r="G1105" s="3">
        <v>1050</v>
      </c>
      <c r="H1105" s="3">
        <v>0.05</v>
      </c>
      <c r="I1105" s="3">
        <v>52.5</v>
      </c>
      <c r="J1105" s="3" t="s">
        <v>25</v>
      </c>
    </row>
    <row r="1106" spans="1:10" x14ac:dyDescent="0.35">
      <c r="A1106" s="3" t="s">
        <v>1136</v>
      </c>
      <c r="B1106" s="4">
        <v>43296</v>
      </c>
      <c r="C1106" s="3" t="s">
        <v>15</v>
      </c>
      <c r="D1106" s="3" t="s">
        <v>12</v>
      </c>
      <c r="E1106" s="3">
        <v>2</v>
      </c>
      <c r="F1106" s="3">
        <v>40</v>
      </c>
      <c r="G1106" s="3">
        <v>80</v>
      </c>
      <c r="H1106" s="3">
        <v>0.12</v>
      </c>
      <c r="I1106" s="3">
        <v>9.6</v>
      </c>
      <c r="J1106" s="3" t="s">
        <v>28</v>
      </c>
    </row>
    <row r="1107" spans="1:10" x14ac:dyDescent="0.35">
      <c r="A1107" s="3" t="s">
        <v>1137</v>
      </c>
      <c r="B1107" s="4">
        <v>43296</v>
      </c>
      <c r="C1107" s="3" t="s">
        <v>11</v>
      </c>
      <c r="D1107" s="3" t="s">
        <v>16</v>
      </c>
      <c r="E1107" s="3">
        <v>14</v>
      </c>
      <c r="F1107" s="3">
        <v>80</v>
      </c>
      <c r="G1107" s="3">
        <v>1120</v>
      </c>
      <c r="H1107" s="3">
        <v>0.06</v>
      </c>
      <c r="I1107" s="3">
        <v>67.2</v>
      </c>
      <c r="J1107" s="3" t="s">
        <v>32</v>
      </c>
    </row>
    <row r="1108" spans="1:10" x14ac:dyDescent="0.35">
      <c r="A1108" s="3" t="s">
        <v>1138</v>
      </c>
      <c r="B1108" s="4">
        <v>43296</v>
      </c>
      <c r="C1108" s="3" t="s">
        <v>34</v>
      </c>
      <c r="D1108" s="3" t="s">
        <v>31</v>
      </c>
      <c r="E1108" s="3">
        <v>7</v>
      </c>
      <c r="F1108" s="3">
        <v>150</v>
      </c>
      <c r="G1108" s="3">
        <v>1050</v>
      </c>
      <c r="H1108" s="3">
        <v>0.03</v>
      </c>
      <c r="I1108" s="3">
        <v>31.5</v>
      </c>
      <c r="J1108" s="3" t="s">
        <v>35</v>
      </c>
    </row>
    <row r="1109" spans="1:10" x14ac:dyDescent="0.35">
      <c r="A1109" s="3" t="s">
        <v>1139</v>
      </c>
      <c r="B1109" s="4">
        <v>43296</v>
      </c>
      <c r="C1109" s="3" t="s">
        <v>30</v>
      </c>
      <c r="D1109" s="3" t="s">
        <v>27</v>
      </c>
      <c r="E1109" s="3">
        <v>10</v>
      </c>
      <c r="F1109" s="3">
        <v>16</v>
      </c>
      <c r="G1109" s="3">
        <v>160</v>
      </c>
      <c r="H1109" s="3">
        <v>0.01</v>
      </c>
      <c r="I1109" s="3">
        <v>1.6</v>
      </c>
      <c r="J1109" s="3" t="s">
        <v>37</v>
      </c>
    </row>
    <row r="1110" spans="1:10" x14ac:dyDescent="0.35">
      <c r="A1110" s="3" t="s">
        <v>1140</v>
      </c>
      <c r="B1110" s="4">
        <v>43297</v>
      </c>
      <c r="C1110" s="3" t="s">
        <v>15</v>
      </c>
      <c r="D1110" s="3" t="s">
        <v>16</v>
      </c>
      <c r="E1110" s="3">
        <v>7</v>
      </c>
      <c r="F1110" s="3">
        <v>40</v>
      </c>
      <c r="G1110" s="3">
        <v>280</v>
      </c>
      <c r="H1110" s="3">
        <v>0.01</v>
      </c>
      <c r="I1110" s="3">
        <v>2.8000000000000003</v>
      </c>
      <c r="J1110" s="3" t="s">
        <v>39</v>
      </c>
    </row>
    <row r="1111" spans="1:10" x14ac:dyDescent="0.35">
      <c r="A1111" s="3" t="s">
        <v>1141</v>
      </c>
      <c r="B1111" s="4">
        <v>43297</v>
      </c>
      <c r="C1111" s="3" t="s">
        <v>30</v>
      </c>
      <c r="D1111" s="3" t="s">
        <v>27</v>
      </c>
      <c r="E1111" s="3">
        <v>7</v>
      </c>
      <c r="F1111" s="3">
        <v>16</v>
      </c>
      <c r="G1111" s="3">
        <v>112</v>
      </c>
      <c r="H1111" s="3">
        <v>0.08</v>
      </c>
      <c r="I1111" s="3">
        <v>8.9600000000000009</v>
      </c>
      <c r="J1111" s="3" t="s">
        <v>41</v>
      </c>
    </row>
    <row r="1112" spans="1:10" x14ac:dyDescent="0.35">
      <c r="A1112" s="3" t="s">
        <v>1142</v>
      </c>
      <c r="B1112" s="4">
        <v>43297</v>
      </c>
      <c r="C1112" s="3" t="s">
        <v>34</v>
      </c>
      <c r="D1112" s="3" t="s">
        <v>24</v>
      </c>
      <c r="E1112" s="3">
        <v>15</v>
      </c>
      <c r="F1112" s="3">
        <v>150</v>
      </c>
      <c r="G1112" s="3">
        <v>2250</v>
      </c>
      <c r="H1112" s="3">
        <v>0.05</v>
      </c>
      <c r="I1112" s="3">
        <v>112.5</v>
      </c>
      <c r="J1112" s="3" t="s">
        <v>43</v>
      </c>
    </row>
    <row r="1113" spans="1:10" x14ac:dyDescent="0.35">
      <c r="A1113" s="3" t="s">
        <v>1143</v>
      </c>
      <c r="B1113" s="4">
        <v>43297</v>
      </c>
      <c r="C1113" s="3" t="s">
        <v>11</v>
      </c>
      <c r="D1113" s="3" t="s">
        <v>12</v>
      </c>
      <c r="E1113" s="3">
        <v>7</v>
      </c>
      <c r="F1113" s="3">
        <v>80</v>
      </c>
      <c r="G1113" s="3">
        <v>560</v>
      </c>
      <c r="H1113" s="3">
        <v>0.02</v>
      </c>
      <c r="I1113" s="3">
        <v>11.200000000000001</v>
      </c>
      <c r="J1113" s="3" t="s">
        <v>13</v>
      </c>
    </row>
    <row r="1114" spans="1:10" x14ac:dyDescent="0.35">
      <c r="A1114" s="3" t="s">
        <v>1144</v>
      </c>
      <c r="B1114" s="4">
        <v>43297</v>
      </c>
      <c r="C1114" s="3" t="s">
        <v>15</v>
      </c>
      <c r="D1114" s="3" t="s">
        <v>24</v>
      </c>
      <c r="E1114" s="3">
        <v>6</v>
      </c>
      <c r="F1114" s="3">
        <v>40</v>
      </c>
      <c r="G1114" s="3">
        <v>240</v>
      </c>
      <c r="H1114" s="3">
        <v>0.06</v>
      </c>
      <c r="I1114" s="3">
        <v>14.399999999999999</v>
      </c>
      <c r="J1114" s="3" t="s">
        <v>17</v>
      </c>
    </row>
    <row r="1115" spans="1:10" x14ac:dyDescent="0.35">
      <c r="A1115" s="3" t="s">
        <v>1145</v>
      </c>
      <c r="B1115" s="4">
        <v>43297</v>
      </c>
      <c r="C1115" s="3" t="s">
        <v>19</v>
      </c>
      <c r="D1115" s="3" t="s">
        <v>12</v>
      </c>
      <c r="E1115" s="3">
        <v>3</v>
      </c>
      <c r="F1115" s="3">
        <v>230</v>
      </c>
      <c r="G1115" s="3">
        <v>690</v>
      </c>
      <c r="H1115" s="3">
        <v>0.06</v>
      </c>
      <c r="I1115" s="3">
        <v>41.4</v>
      </c>
      <c r="J1115" s="3" t="s">
        <v>20</v>
      </c>
    </row>
    <row r="1116" spans="1:10" x14ac:dyDescent="0.35">
      <c r="A1116" s="3" t="s">
        <v>1146</v>
      </c>
      <c r="B1116" s="4">
        <v>43297</v>
      </c>
      <c r="C1116" s="3" t="s">
        <v>34</v>
      </c>
      <c r="D1116" s="3" t="s">
        <v>24</v>
      </c>
      <c r="E1116" s="3">
        <v>20</v>
      </c>
      <c r="F1116" s="3">
        <v>150</v>
      </c>
      <c r="G1116" s="3">
        <v>3000</v>
      </c>
      <c r="H1116" s="3">
        <v>0.04</v>
      </c>
      <c r="I1116" s="3">
        <v>120</v>
      </c>
      <c r="J1116" s="3" t="s">
        <v>22</v>
      </c>
    </row>
    <row r="1117" spans="1:10" x14ac:dyDescent="0.35">
      <c r="A1117" s="3" t="s">
        <v>1147</v>
      </c>
      <c r="B1117" s="4">
        <v>43297</v>
      </c>
      <c r="C1117" s="3" t="s">
        <v>19</v>
      </c>
      <c r="D1117" s="3" t="s">
        <v>24</v>
      </c>
      <c r="E1117" s="3">
        <v>20</v>
      </c>
      <c r="F1117" s="3">
        <v>230</v>
      </c>
      <c r="G1117" s="3">
        <v>4600</v>
      </c>
      <c r="H1117" s="3">
        <v>0.06</v>
      </c>
      <c r="I1117" s="3">
        <v>276</v>
      </c>
      <c r="J1117" s="3" t="s">
        <v>25</v>
      </c>
    </row>
    <row r="1118" spans="1:10" x14ac:dyDescent="0.35">
      <c r="A1118" s="3" t="s">
        <v>1148</v>
      </c>
      <c r="B1118" s="4">
        <v>43297</v>
      </c>
      <c r="C1118" s="3" t="s">
        <v>30</v>
      </c>
      <c r="D1118" s="3" t="s">
        <v>24</v>
      </c>
      <c r="E1118" s="3">
        <v>14</v>
      </c>
      <c r="F1118" s="3">
        <v>16</v>
      </c>
      <c r="G1118" s="3">
        <v>224</v>
      </c>
      <c r="H1118" s="3">
        <v>0.01</v>
      </c>
      <c r="I1118" s="3">
        <v>2.2400000000000002</v>
      </c>
      <c r="J1118" s="3" t="s">
        <v>28</v>
      </c>
    </row>
    <row r="1119" spans="1:10" x14ac:dyDescent="0.35">
      <c r="A1119" s="3" t="s">
        <v>1149</v>
      </c>
      <c r="B1119" s="4">
        <v>43297</v>
      </c>
      <c r="C1119" s="3" t="s">
        <v>34</v>
      </c>
      <c r="D1119" s="3" t="s">
        <v>24</v>
      </c>
      <c r="E1119" s="3">
        <v>20</v>
      </c>
      <c r="F1119" s="3">
        <v>150</v>
      </c>
      <c r="G1119" s="3">
        <v>3000</v>
      </c>
      <c r="H1119" s="3">
        <v>0.04</v>
      </c>
      <c r="I1119" s="3">
        <v>120</v>
      </c>
      <c r="J1119" s="3" t="s">
        <v>17</v>
      </c>
    </row>
    <row r="1120" spans="1:10" x14ac:dyDescent="0.35">
      <c r="A1120" s="3" t="s">
        <v>1150</v>
      </c>
      <c r="B1120" s="4">
        <v>43297</v>
      </c>
      <c r="C1120" s="3" t="s">
        <v>11</v>
      </c>
      <c r="D1120" s="3" t="s">
        <v>12</v>
      </c>
      <c r="E1120" s="3">
        <v>17</v>
      </c>
      <c r="F1120" s="3">
        <v>80</v>
      </c>
      <c r="G1120" s="3">
        <v>1360</v>
      </c>
      <c r="H1120" s="3">
        <v>0.09</v>
      </c>
      <c r="I1120" s="3">
        <v>122.39999999999999</v>
      </c>
      <c r="J1120" s="3" t="s">
        <v>20</v>
      </c>
    </row>
    <row r="1121" spans="1:10" x14ac:dyDescent="0.35">
      <c r="A1121" s="3" t="s">
        <v>1151</v>
      </c>
      <c r="B1121" s="4">
        <v>43298</v>
      </c>
      <c r="C1121" s="3" t="s">
        <v>34</v>
      </c>
      <c r="D1121" s="3" t="s">
        <v>24</v>
      </c>
      <c r="E1121" s="3">
        <v>20</v>
      </c>
      <c r="F1121" s="3">
        <v>150</v>
      </c>
      <c r="G1121" s="3">
        <v>3000</v>
      </c>
      <c r="H1121" s="3">
        <v>0.12</v>
      </c>
      <c r="I1121" s="3">
        <v>360</v>
      </c>
      <c r="J1121" s="3" t="s">
        <v>22</v>
      </c>
    </row>
    <row r="1122" spans="1:10" x14ac:dyDescent="0.35">
      <c r="A1122" s="3" t="s">
        <v>1152</v>
      </c>
      <c r="B1122" s="4">
        <v>43298</v>
      </c>
      <c r="C1122" s="3" t="s">
        <v>30</v>
      </c>
      <c r="D1122" s="3" t="s">
        <v>24</v>
      </c>
      <c r="E1122" s="3">
        <v>11</v>
      </c>
      <c r="F1122" s="3">
        <v>16</v>
      </c>
      <c r="G1122" s="3">
        <v>176</v>
      </c>
      <c r="H1122" s="3">
        <v>0.04</v>
      </c>
      <c r="I1122" s="3">
        <v>7.04</v>
      </c>
      <c r="J1122" s="3" t="s">
        <v>25</v>
      </c>
    </row>
    <row r="1123" spans="1:10" x14ac:dyDescent="0.35">
      <c r="A1123" s="3" t="s">
        <v>1153</v>
      </c>
      <c r="B1123" s="4">
        <v>43298</v>
      </c>
      <c r="C1123" s="3" t="s">
        <v>19</v>
      </c>
      <c r="D1123" s="3" t="s">
        <v>31</v>
      </c>
      <c r="E1123" s="3">
        <v>7</v>
      </c>
      <c r="F1123" s="3">
        <v>230</v>
      </c>
      <c r="G1123" s="3">
        <v>1610</v>
      </c>
      <c r="H1123" s="3">
        <v>0.05</v>
      </c>
      <c r="I1123" s="3">
        <v>80.5</v>
      </c>
      <c r="J1123" s="3" t="s">
        <v>28</v>
      </c>
    </row>
    <row r="1124" spans="1:10" x14ac:dyDescent="0.35">
      <c r="A1124" s="3" t="s">
        <v>1154</v>
      </c>
      <c r="B1124" s="4">
        <v>43298</v>
      </c>
      <c r="C1124" s="3" t="s">
        <v>15</v>
      </c>
      <c r="D1124" s="3" t="s">
        <v>16</v>
      </c>
      <c r="E1124" s="3">
        <v>14</v>
      </c>
      <c r="F1124" s="3">
        <v>40</v>
      </c>
      <c r="G1124" s="3">
        <v>560</v>
      </c>
      <c r="H1124" s="3">
        <v>0.06</v>
      </c>
      <c r="I1124" s="3">
        <v>33.6</v>
      </c>
      <c r="J1124" s="3" t="s">
        <v>32</v>
      </c>
    </row>
    <row r="1125" spans="1:10" x14ac:dyDescent="0.35">
      <c r="A1125" s="3" t="s">
        <v>1155</v>
      </c>
      <c r="B1125" s="4">
        <v>43298</v>
      </c>
      <c r="C1125" s="3" t="s">
        <v>11</v>
      </c>
      <c r="D1125" s="3" t="s">
        <v>16</v>
      </c>
      <c r="E1125" s="3">
        <v>13</v>
      </c>
      <c r="F1125" s="3">
        <v>80</v>
      </c>
      <c r="G1125" s="3">
        <v>1040</v>
      </c>
      <c r="H1125" s="3">
        <v>0.06</v>
      </c>
      <c r="I1125" s="3">
        <v>62.4</v>
      </c>
      <c r="J1125" s="3" t="s">
        <v>35</v>
      </c>
    </row>
    <row r="1126" spans="1:10" x14ac:dyDescent="0.35">
      <c r="A1126" s="3" t="s">
        <v>1156</v>
      </c>
      <c r="B1126" s="4">
        <v>43298</v>
      </c>
      <c r="C1126" s="3" t="s">
        <v>30</v>
      </c>
      <c r="D1126" s="3" t="s">
        <v>24</v>
      </c>
      <c r="E1126" s="3">
        <v>17</v>
      </c>
      <c r="F1126" s="3">
        <v>16</v>
      </c>
      <c r="G1126" s="3">
        <v>272</v>
      </c>
      <c r="H1126" s="3">
        <v>0.05</v>
      </c>
      <c r="I1126" s="3">
        <v>13.600000000000001</v>
      </c>
      <c r="J1126" s="3" t="s">
        <v>37</v>
      </c>
    </row>
    <row r="1127" spans="1:10" x14ac:dyDescent="0.35">
      <c r="A1127" s="3" t="s">
        <v>1157</v>
      </c>
      <c r="B1127" s="4">
        <v>43298</v>
      </c>
      <c r="C1127" s="3" t="s">
        <v>19</v>
      </c>
      <c r="D1127" s="3" t="s">
        <v>24</v>
      </c>
      <c r="E1127" s="3">
        <v>12</v>
      </c>
      <c r="F1127" s="3">
        <v>230</v>
      </c>
      <c r="G1127" s="3">
        <v>2760</v>
      </c>
      <c r="H1127" s="3">
        <v>0.03</v>
      </c>
      <c r="I1127" s="3">
        <v>82.8</v>
      </c>
      <c r="J1127" s="3" t="s">
        <v>39</v>
      </c>
    </row>
    <row r="1128" spans="1:10" x14ac:dyDescent="0.35">
      <c r="A1128" s="3" t="s">
        <v>1158</v>
      </c>
      <c r="B1128" s="4">
        <v>43298</v>
      </c>
      <c r="C1128" s="3" t="s">
        <v>15</v>
      </c>
      <c r="D1128" s="3" t="s">
        <v>16</v>
      </c>
      <c r="E1128" s="3">
        <v>4</v>
      </c>
      <c r="F1128" s="3">
        <v>40</v>
      </c>
      <c r="G1128" s="3">
        <v>160</v>
      </c>
      <c r="H1128" s="3">
        <v>0.12</v>
      </c>
      <c r="I1128" s="3">
        <v>19.2</v>
      </c>
      <c r="J1128" s="3" t="s">
        <v>41</v>
      </c>
    </row>
    <row r="1129" spans="1:10" x14ac:dyDescent="0.35">
      <c r="A1129" s="3" t="s">
        <v>1159</v>
      </c>
      <c r="B1129" s="4">
        <v>43298</v>
      </c>
      <c r="C1129" s="3" t="s">
        <v>30</v>
      </c>
      <c r="D1129" s="3" t="s">
        <v>12</v>
      </c>
      <c r="E1129" s="3">
        <v>20</v>
      </c>
      <c r="F1129" s="3">
        <v>16</v>
      </c>
      <c r="G1129" s="3">
        <v>320</v>
      </c>
      <c r="H1129" s="3">
        <v>0.01</v>
      </c>
      <c r="I1129" s="3">
        <v>3.2</v>
      </c>
      <c r="J1129" s="3" t="s">
        <v>43</v>
      </c>
    </row>
    <row r="1130" spans="1:10" x14ac:dyDescent="0.35">
      <c r="A1130" s="3" t="s">
        <v>1160</v>
      </c>
      <c r="B1130" s="4">
        <v>43298</v>
      </c>
      <c r="C1130" s="3" t="s">
        <v>11</v>
      </c>
      <c r="D1130" s="3" t="s">
        <v>27</v>
      </c>
      <c r="E1130" s="3">
        <v>8</v>
      </c>
      <c r="F1130" s="3">
        <v>80</v>
      </c>
      <c r="G1130" s="3">
        <v>640</v>
      </c>
      <c r="H1130" s="3">
        <v>0.06</v>
      </c>
      <c r="I1130" s="3">
        <v>38.4</v>
      </c>
      <c r="J1130" s="3" t="s">
        <v>13</v>
      </c>
    </row>
    <row r="1131" spans="1:10" x14ac:dyDescent="0.35">
      <c r="A1131" s="3" t="s">
        <v>1161</v>
      </c>
      <c r="B1131" s="4">
        <v>43298</v>
      </c>
      <c r="C1131" s="3" t="s">
        <v>11</v>
      </c>
      <c r="D1131" s="3" t="s">
        <v>12</v>
      </c>
      <c r="E1131" s="3">
        <v>18</v>
      </c>
      <c r="F1131" s="3">
        <v>80</v>
      </c>
      <c r="G1131" s="3">
        <v>1440</v>
      </c>
      <c r="H1131" s="3">
        <v>0.02</v>
      </c>
      <c r="I1131" s="3">
        <v>28.8</v>
      </c>
      <c r="J1131" s="3" t="s">
        <v>17</v>
      </c>
    </row>
    <row r="1132" spans="1:10" x14ac:dyDescent="0.35">
      <c r="A1132" s="3" t="s">
        <v>1162</v>
      </c>
      <c r="B1132" s="4">
        <v>43298</v>
      </c>
      <c r="C1132" s="3" t="s">
        <v>30</v>
      </c>
      <c r="D1132" s="3" t="s">
        <v>24</v>
      </c>
      <c r="E1132" s="3">
        <v>6</v>
      </c>
      <c r="F1132" s="3">
        <v>16</v>
      </c>
      <c r="G1132" s="3">
        <v>96</v>
      </c>
      <c r="H1132" s="3">
        <v>0.06</v>
      </c>
      <c r="I1132" s="3">
        <v>5.76</v>
      </c>
      <c r="J1132" s="3" t="s">
        <v>20</v>
      </c>
    </row>
    <row r="1133" spans="1:10" x14ac:dyDescent="0.35">
      <c r="A1133" s="3" t="s">
        <v>1163</v>
      </c>
      <c r="B1133" s="4">
        <v>43298</v>
      </c>
      <c r="C1133" s="3" t="s">
        <v>11</v>
      </c>
      <c r="D1133" s="3" t="s">
        <v>12</v>
      </c>
      <c r="E1133" s="3">
        <v>9</v>
      </c>
      <c r="F1133" s="3">
        <v>80</v>
      </c>
      <c r="G1133" s="3">
        <v>720</v>
      </c>
      <c r="H1133" s="3">
        <v>0.04</v>
      </c>
      <c r="I1133" s="3">
        <v>28.8</v>
      </c>
      <c r="J1133" s="3" t="s">
        <v>22</v>
      </c>
    </row>
    <row r="1134" spans="1:10" x14ac:dyDescent="0.35">
      <c r="A1134" s="3" t="s">
        <v>1164</v>
      </c>
      <c r="B1134" s="4">
        <v>43299</v>
      </c>
      <c r="C1134" s="3" t="s">
        <v>11</v>
      </c>
      <c r="D1134" s="3" t="s">
        <v>24</v>
      </c>
      <c r="E1134" s="3">
        <v>8</v>
      </c>
      <c r="F1134" s="3">
        <v>80</v>
      </c>
      <c r="G1134" s="3">
        <v>640</v>
      </c>
      <c r="H1134" s="3">
        <v>0.02</v>
      </c>
      <c r="I1134" s="3">
        <v>12.8</v>
      </c>
      <c r="J1134" s="3" t="s">
        <v>25</v>
      </c>
    </row>
    <row r="1135" spans="1:10" x14ac:dyDescent="0.35">
      <c r="A1135" s="3" t="s">
        <v>1165</v>
      </c>
      <c r="B1135" s="4">
        <v>43299</v>
      </c>
      <c r="C1135" s="3" t="s">
        <v>34</v>
      </c>
      <c r="D1135" s="3" t="s">
        <v>27</v>
      </c>
      <c r="E1135" s="3">
        <v>6</v>
      </c>
      <c r="F1135" s="3">
        <v>150</v>
      </c>
      <c r="G1135" s="3">
        <v>900</v>
      </c>
      <c r="H1135" s="3">
        <v>0.03</v>
      </c>
      <c r="I1135" s="3">
        <v>27</v>
      </c>
      <c r="J1135" s="3" t="s">
        <v>28</v>
      </c>
    </row>
    <row r="1136" spans="1:10" x14ac:dyDescent="0.35">
      <c r="A1136" s="3" t="s">
        <v>1166</v>
      </c>
      <c r="B1136" s="4">
        <v>43299</v>
      </c>
      <c r="C1136" s="3" t="s">
        <v>30</v>
      </c>
      <c r="D1136" s="3" t="s">
        <v>27</v>
      </c>
      <c r="E1136" s="3">
        <v>14</v>
      </c>
      <c r="F1136" s="3">
        <v>16</v>
      </c>
      <c r="G1136" s="3">
        <v>224</v>
      </c>
      <c r="H1136" s="3">
        <v>0.12</v>
      </c>
      <c r="I1136" s="3">
        <v>26.88</v>
      </c>
      <c r="J1136" s="3" t="s">
        <v>17</v>
      </c>
    </row>
    <row r="1137" spans="1:10" x14ac:dyDescent="0.35">
      <c r="A1137" s="3" t="s">
        <v>1167</v>
      </c>
      <c r="B1137" s="4">
        <v>43299</v>
      </c>
      <c r="C1137" s="3" t="s">
        <v>11</v>
      </c>
      <c r="D1137" s="3" t="s">
        <v>24</v>
      </c>
      <c r="E1137" s="3">
        <v>6</v>
      </c>
      <c r="F1137" s="3">
        <v>80</v>
      </c>
      <c r="G1137" s="3">
        <v>480</v>
      </c>
      <c r="H1137" s="3">
        <v>0.09</v>
      </c>
      <c r="I1137" s="3">
        <v>43.199999999999996</v>
      </c>
      <c r="J1137" s="3" t="s">
        <v>20</v>
      </c>
    </row>
    <row r="1138" spans="1:10" x14ac:dyDescent="0.35">
      <c r="A1138" s="3" t="s">
        <v>1168</v>
      </c>
      <c r="B1138" s="4">
        <v>43299</v>
      </c>
      <c r="C1138" s="3" t="s">
        <v>15</v>
      </c>
      <c r="D1138" s="3" t="s">
        <v>31</v>
      </c>
      <c r="E1138" s="3">
        <v>23</v>
      </c>
      <c r="F1138" s="3">
        <v>40</v>
      </c>
      <c r="G1138" s="3">
        <v>920</v>
      </c>
      <c r="H1138" s="3">
        <v>0.04</v>
      </c>
      <c r="I1138" s="3">
        <v>36.800000000000004</v>
      </c>
      <c r="J1138" s="3" t="s">
        <v>22</v>
      </c>
    </row>
    <row r="1139" spans="1:10" x14ac:dyDescent="0.35">
      <c r="A1139" s="3" t="s">
        <v>1169</v>
      </c>
      <c r="B1139" s="4">
        <v>43299</v>
      </c>
      <c r="C1139" s="3" t="s">
        <v>15</v>
      </c>
      <c r="D1139" s="3" t="s">
        <v>24</v>
      </c>
      <c r="E1139" s="3">
        <v>12</v>
      </c>
      <c r="F1139" s="3">
        <v>40</v>
      </c>
      <c r="G1139" s="3">
        <v>480</v>
      </c>
      <c r="H1139" s="3">
        <v>0.02</v>
      </c>
      <c r="I1139" s="3">
        <v>9.6</v>
      </c>
      <c r="J1139" s="3" t="s">
        <v>25</v>
      </c>
    </row>
    <row r="1140" spans="1:10" x14ac:dyDescent="0.35">
      <c r="A1140" s="3" t="s">
        <v>1170</v>
      </c>
      <c r="B1140" s="4">
        <v>43299</v>
      </c>
      <c r="C1140" s="3" t="s">
        <v>15</v>
      </c>
      <c r="D1140" s="3" t="s">
        <v>27</v>
      </c>
      <c r="E1140" s="3">
        <v>22</v>
      </c>
      <c r="F1140" s="3">
        <v>40</v>
      </c>
      <c r="G1140" s="3">
        <v>880</v>
      </c>
      <c r="H1140" s="3">
        <v>0.01</v>
      </c>
      <c r="I1140" s="3">
        <v>8.8000000000000007</v>
      </c>
      <c r="J1140" s="3" t="s">
        <v>28</v>
      </c>
    </row>
    <row r="1141" spans="1:10" x14ac:dyDescent="0.35">
      <c r="A1141" s="3" t="s">
        <v>1171</v>
      </c>
      <c r="B1141" s="4">
        <v>43299</v>
      </c>
      <c r="C1141" s="3" t="s">
        <v>34</v>
      </c>
      <c r="D1141" s="3" t="s">
        <v>27</v>
      </c>
      <c r="E1141" s="3">
        <v>6</v>
      </c>
      <c r="F1141" s="3">
        <v>150</v>
      </c>
      <c r="G1141" s="3">
        <v>900</v>
      </c>
      <c r="H1141" s="3">
        <v>0.03</v>
      </c>
      <c r="I1141" s="3">
        <v>27</v>
      </c>
      <c r="J1141" s="3" t="s">
        <v>32</v>
      </c>
    </row>
    <row r="1142" spans="1:10" x14ac:dyDescent="0.35">
      <c r="A1142" s="3" t="s">
        <v>1172</v>
      </c>
      <c r="B1142" s="4">
        <v>43299</v>
      </c>
      <c r="C1142" s="3" t="s">
        <v>30</v>
      </c>
      <c r="D1142" s="3" t="s">
        <v>31</v>
      </c>
      <c r="E1142" s="3">
        <v>19</v>
      </c>
      <c r="F1142" s="3">
        <v>16</v>
      </c>
      <c r="G1142" s="3">
        <v>304</v>
      </c>
      <c r="H1142" s="3">
        <v>0.02</v>
      </c>
      <c r="I1142" s="3">
        <v>6.08</v>
      </c>
      <c r="J1142" s="3" t="s">
        <v>35</v>
      </c>
    </row>
    <row r="1143" spans="1:10" x14ac:dyDescent="0.35">
      <c r="A1143" s="3" t="s">
        <v>1173</v>
      </c>
      <c r="B1143" s="4">
        <v>43299</v>
      </c>
      <c r="C1143" s="3" t="s">
        <v>15</v>
      </c>
      <c r="D1143" s="3" t="s">
        <v>24</v>
      </c>
      <c r="E1143" s="3">
        <v>2</v>
      </c>
      <c r="F1143" s="3">
        <v>40</v>
      </c>
      <c r="G1143" s="3">
        <v>80</v>
      </c>
      <c r="H1143" s="3">
        <v>0.02</v>
      </c>
      <c r="I1143" s="3">
        <v>1.6</v>
      </c>
      <c r="J1143" s="3" t="s">
        <v>37</v>
      </c>
    </row>
    <row r="1144" spans="1:10" x14ac:dyDescent="0.35">
      <c r="A1144" s="3" t="s">
        <v>1174</v>
      </c>
      <c r="B1144" s="4">
        <v>43300</v>
      </c>
      <c r="C1144" s="3" t="s">
        <v>15</v>
      </c>
      <c r="D1144" s="3" t="s">
        <v>27</v>
      </c>
      <c r="E1144" s="3">
        <v>22</v>
      </c>
      <c r="F1144" s="3">
        <v>40</v>
      </c>
      <c r="G1144" s="3">
        <v>880</v>
      </c>
      <c r="H1144" s="3">
        <v>0.01</v>
      </c>
      <c r="I1144" s="3">
        <v>8.8000000000000007</v>
      </c>
      <c r="J1144" s="3" t="s">
        <v>39</v>
      </c>
    </row>
    <row r="1145" spans="1:10" x14ac:dyDescent="0.35">
      <c r="A1145" s="3" t="s">
        <v>1175</v>
      </c>
      <c r="B1145" s="4">
        <v>43300</v>
      </c>
      <c r="C1145" s="3" t="s">
        <v>19</v>
      </c>
      <c r="D1145" s="3" t="s">
        <v>27</v>
      </c>
      <c r="E1145" s="3">
        <v>3</v>
      </c>
      <c r="F1145" s="3">
        <v>230</v>
      </c>
      <c r="G1145" s="3">
        <v>690</v>
      </c>
      <c r="H1145" s="3">
        <v>0.01</v>
      </c>
      <c r="I1145" s="3">
        <v>6.9</v>
      </c>
      <c r="J1145" s="3" t="s">
        <v>41</v>
      </c>
    </row>
    <row r="1146" spans="1:10" x14ac:dyDescent="0.35">
      <c r="A1146" s="3" t="s">
        <v>1176</v>
      </c>
      <c r="B1146" s="4">
        <v>43300</v>
      </c>
      <c r="C1146" s="3" t="s">
        <v>15</v>
      </c>
      <c r="D1146" s="3" t="s">
        <v>27</v>
      </c>
      <c r="E1146" s="3">
        <v>23</v>
      </c>
      <c r="F1146" s="3">
        <v>40</v>
      </c>
      <c r="G1146" s="3">
        <v>920</v>
      </c>
      <c r="H1146" s="3">
        <v>0.06</v>
      </c>
      <c r="I1146" s="3">
        <v>55.199999999999996</v>
      </c>
      <c r="J1146" s="3" t="s">
        <v>43</v>
      </c>
    </row>
    <row r="1147" spans="1:10" x14ac:dyDescent="0.35">
      <c r="A1147" s="3" t="s">
        <v>1177</v>
      </c>
      <c r="B1147" s="4">
        <v>43300</v>
      </c>
      <c r="C1147" s="3" t="s">
        <v>15</v>
      </c>
      <c r="D1147" s="3" t="s">
        <v>31</v>
      </c>
      <c r="E1147" s="3">
        <v>5</v>
      </c>
      <c r="F1147" s="3">
        <v>40</v>
      </c>
      <c r="G1147" s="3">
        <v>200</v>
      </c>
      <c r="H1147" s="3">
        <v>0.03</v>
      </c>
      <c r="I1147" s="3">
        <v>6</v>
      </c>
      <c r="J1147" s="3" t="s">
        <v>13</v>
      </c>
    </row>
    <row r="1148" spans="1:10" x14ac:dyDescent="0.35">
      <c r="A1148" s="3" t="s">
        <v>1178</v>
      </c>
      <c r="B1148" s="4">
        <v>43300</v>
      </c>
      <c r="C1148" s="3" t="s">
        <v>11</v>
      </c>
      <c r="D1148" s="3" t="s">
        <v>12</v>
      </c>
      <c r="E1148" s="3">
        <v>8</v>
      </c>
      <c r="F1148" s="3">
        <v>80</v>
      </c>
      <c r="G1148" s="3">
        <v>640</v>
      </c>
      <c r="H1148" s="3">
        <v>0.08</v>
      </c>
      <c r="I1148" s="3">
        <v>51.2</v>
      </c>
      <c r="J1148" s="3" t="s">
        <v>17</v>
      </c>
    </row>
    <row r="1149" spans="1:10" x14ac:dyDescent="0.35">
      <c r="A1149" s="3" t="s">
        <v>1179</v>
      </c>
      <c r="B1149" s="4">
        <v>43300</v>
      </c>
      <c r="C1149" s="3" t="s">
        <v>15</v>
      </c>
      <c r="D1149" s="3" t="s">
        <v>24</v>
      </c>
      <c r="E1149" s="3">
        <v>18</v>
      </c>
      <c r="F1149" s="3">
        <v>40</v>
      </c>
      <c r="G1149" s="3">
        <v>720</v>
      </c>
      <c r="H1149" s="3">
        <v>0.03</v>
      </c>
      <c r="I1149" s="3">
        <v>21.599999999999998</v>
      </c>
      <c r="J1149" s="3" t="s">
        <v>20</v>
      </c>
    </row>
    <row r="1150" spans="1:10" x14ac:dyDescent="0.35">
      <c r="A1150" s="3" t="s">
        <v>1180</v>
      </c>
      <c r="B1150" s="4">
        <v>43300</v>
      </c>
      <c r="C1150" s="3" t="s">
        <v>15</v>
      </c>
      <c r="D1150" s="3" t="s">
        <v>31</v>
      </c>
      <c r="E1150" s="3">
        <v>20</v>
      </c>
      <c r="F1150" s="3">
        <v>40</v>
      </c>
      <c r="G1150" s="3">
        <v>800</v>
      </c>
      <c r="H1150" s="3">
        <v>0.1</v>
      </c>
      <c r="I1150" s="3">
        <v>80</v>
      </c>
      <c r="J1150" s="3" t="s">
        <v>22</v>
      </c>
    </row>
    <row r="1151" spans="1:10" x14ac:dyDescent="0.35">
      <c r="A1151" s="3" t="s">
        <v>1181</v>
      </c>
      <c r="B1151" s="4">
        <v>43300</v>
      </c>
      <c r="C1151" s="3" t="s">
        <v>15</v>
      </c>
      <c r="D1151" s="3" t="s">
        <v>24</v>
      </c>
      <c r="E1151" s="3">
        <v>2</v>
      </c>
      <c r="F1151" s="3">
        <v>40</v>
      </c>
      <c r="G1151" s="3">
        <v>80</v>
      </c>
      <c r="H1151" s="3">
        <v>0.03</v>
      </c>
      <c r="I1151" s="3">
        <v>2.4</v>
      </c>
      <c r="J1151" s="3" t="s">
        <v>25</v>
      </c>
    </row>
    <row r="1152" spans="1:10" x14ac:dyDescent="0.35">
      <c r="A1152" s="3" t="s">
        <v>1182</v>
      </c>
      <c r="B1152" s="4">
        <v>43300</v>
      </c>
      <c r="C1152" s="3" t="s">
        <v>19</v>
      </c>
      <c r="D1152" s="3" t="s">
        <v>12</v>
      </c>
      <c r="E1152" s="3">
        <v>15</v>
      </c>
      <c r="F1152" s="3">
        <v>230</v>
      </c>
      <c r="G1152" s="3">
        <v>3450</v>
      </c>
      <c r="H1152" s="3">
        <v>0.05</v>
      </c>
      <c r="I1152" s="3">
        <v>172.5</v>
      </c>
      <c r="J1152" s="3" t="s">
        <v>28</v>
      </c>
    </row>
    <row r="1153" spans="1:10" x14ac:dyDescent="0.35">
      <c r="A1153" s="3" t="s">
        <v>1183</v>
      </c>
      <c r="B1153" s="4">
        <v>43300</v>
      </c>
      <c r="C1153" s="3" t="s">
        <v>34</v>
      </c>
      <c r="D1153" s="3" t="s">
        <v>27</v>
      </c>
      <c r="E1153" s="3">
        <v>15</v>
      </c>
      <c r="F1153" s="3">
        <v>150</v>
      </c>
      <c r="G1153" s="3">
        <v>2250</v>
      </c>
      <c r="H1153" s="3">
        <v>0.08</v>
      </c>
      <c r="I1153" s="3">
        <v>180</v>
      </c>
      <c r="J1153" s="3" t="s">
        <v>17</v>
      </c>
    </row>
    <row r="1154" spans="1:10" x14ac:dyDescent="0.35">
      <c r="A1154" s="3" t="s">
        <v>1184</v>
      </c>
      <c r="B1154" s="4">
        <v>43300</v>
      </c>
      <c r="C1154" s="3" t="s">
        <v>34</v>
      </c>
      <c r="D1154" s="3" t="s">
        <v>27</v>
      </c>
      <c r="E1154" s="3">
        <v>22</v>
      </c>
      <c r="F1154" s="3">
        <v>150</v>
      </c>
      <c r="G1154" s="3">
        <v>3300</v>
      </c>
      <c r="H1154" s="3">
        <v>0.05</v>
      </c>
      <c r="I1154" s="3">
        <v>165</v>
      </c>
      <c r="J1154" s="3" t="s">
        <v>20</v>
      </c>
    </row>
    <row r="1155" spans="1:10" x14ac:dyDescent="0.35">
      <c r="A1155" s="3" t="s">
        <v>1185</v>
      </c>
      <c r="B1155" s="4">
        <v>43300</v>
      </c>
      <c r="C1155" s="3" t="s">
        <v>19</v>
      </c>
      <c r="D1155" s="3" t="s">
        <v>16</v>
      </c>
      <c r="E1155" s="3">
        <v>19</v>
      </c>
      <c r="F1155" s="3">
        <v>230</v>
      </c>
      <c r="G1155" s="3">
        <v>4370</v>
      </c>
      <c r="H1155" s="3">
        <v>0.11</v>
      </c>
      <c r="I1155" s="3">
        <v>480.7</v>
      </c>
      <c r="J1155" s="3" t="s">
        <v>22</v>
      </c>
    </row>
    <row r="1156" spans="1:10" x14ac:dyDescent="0.35">
      <c r="A1156" s="3" t="s">
        <v>1186</v>
      </c>
      <c r="B1156" s="4">
        <v>43300</v>
      </c>
      <c r="C1156" s="3" t="s">
        <v>11</v>
      </c>
      <c r="D1156" s="3" t="s">
        <v>16</v>
      </c>
      <c r="E1156" s="3">
        <v>10</v>
      </c>
      <c r="F1156" s="3">
        <v>80</v>
      </c>
      <c r="G1156" s="3">
        <v>800</v>
      </c>
      <c r="H1156" s="3">
        <v>0.11</v>
      </c>
      <c r="I1156" s="3">
        <v>88</v>
      </c>
      <c r="J1156" s="3" t="s">
        <v>25</v>
      </c>
    </row>
    <row r="1157" spans="1:10" x14ac:dyDescent="0.35">
      <c r="A1157" s="3" t="s">
        <v>1187</v>
      </c>
      <c r="B1157" s="4">
        <v>43300</v>
      </c>
      <c r="C1157" s="3" t="s">
        <v>15</v>
      </c>
      <c r="D1157" s="3" t="s">
        <v>27</v>
      </c>
      <c r="E1157" s="3">
        <v>18</v>
      </c>
      <c r="F1157" s="3">
        <v>40</v>
      </c>
      <c r="G1157" s="3">
        <v>720</v>
      </c>
      <c r="H1157" s="3">
        <v>0.06</v>
      </c>
      <c r="I1157" s="3">
        <v>43.199999999999996</v>
      </c>
      <c r="J1157" s="3" t="s">
        <v>28</v>
      </c>
    </row>
    <row r="1158" spans="1:10" x14ac:dyDescent="0.35">
      <c r="A1158" s="3" t="s">
        <v>1188</v>
      </c>
      <c r="B1158" s="4">
        <v>43300</v>
      </c>
      <c r="C1158" s="3" t="s">
        <v>11</v>
      </c>
      <c r="D1158" s="3" t="s">
        <v>27</v>
      </c>
      <c r="E1158" s="3">
        <v>16</v>
      </c>
      <c r="F1158" s="3">
        <v>80</v>
      </c>
      <c r="G1158" s="3">
        <v>1280</v>
      </c>
      <c r="H1158" s="3">
        <v>0.05</v>
      </c>
      <c r="I1158" s="3">
        <v>64</v>
      </c>
      <c r="J1158" s="3" t="s">
        <v>32</v>
      </c>
    </row>
    <row r="1159" spans="1:10" x14ac:dyDescent="0.35">
      <c r="A1159" s="3" t="s">
        <v>1189</v>
      </c>
      <c r="B1159" s="4">
        <v>43300</v>
      </c>
      <c r="C1159" s="3" t="s">
        <v>34</v>
      </c>
      <c r="D1159" s="3" t="s">
        <v>31</v>
      </c>
      <c r="E1159" s="3">
        <v>17</v>
      </c>
      <c r="F1159" s="3">
        <v>150</v>
      </c>
      <c r="G1159" s="3">
        <v>2550</v>
      </c>
      <c r="H1159" s="3">
        <v>0.02</v>
      </c>
      <c r="I1159" s="3">
        <v>51</v>
      </c>
      <c r="J1159" s="3" t="s">
        <v>35</v>
      </c>
    </row>
    <row r="1160" spans="1:10" x14ac:dyDescent="0.35">
      <c r="A1160" s="3" t="s">
        <v>1190</v>
      </c>
      <c r="B1160" s="4">
        <v>43301</v>
      </c>
      <c r="C1160" s="3" t="s">
        <v>19</v>
      </c>
      <c r="D1160" s="3" t="s">
        <v>12</v>
      </c>
      <c r="E1160" s="3">
        <v>8</v>
      </c>
      <c r="F1160" s="3">
        <v>230</v>
      </c>
      <c r="G1160" s="3">
        <v>1840</v>
      </c>
      <c r="H1160" s="3">
        <v>0.03</v>
      </c>
      <c r="I1160" s="3">
        <v>55.199999999999996</v>
      </c>
      <c r="J1160" s="3" t="s">
        <v>37</v>
      </c>
    </row>
    <row r="1161" spans="1:10" x14ac:dyDescent="0.35">
      <c r="A1161" s="3" t="s">
        <v>1191</v>
      </c>
      <c r="B1161" s="4">
        <v>43301</v>
      </c>
      <c r="C1161" s="3" t="s">
        <v>11</v>
      </c>
      <c r="D1161" s="3" t="s">
        <v>27</v>
      </c>
      <c r="E1161" s="3">
        <v>11</v>
      </c>
      <c r="F1161" s="3">
        <v>80</v>
      </c>
      <c r="G1161" s="3">
        <v>880</v>
      </c>
      <c r="H1161" s="3">
        <v>0.01</v>
      </c>
      <c r="I1161" s="3">
        <v>8.8000000000000007</v>
      </c>
      <c r="J1161" s="3" t="s">
        <v>39</v>
      </c>
    </row>
    <row r="1162" spans="1:10" x14ac:dyDescent="0.35">
      <c r="A1162" s="3" t="s">
        <v>1192</v>
      </c>
      <c r="B1162" s="4">
        <v>43301</v>
      </c>
      <c r="C1162" s="3" t="s">
        <v>15</v>
      </c>
      <c r="D1162" s="3" t="s">
        <v>12</v>
      </c>
      <c r="E1162" s="3">
        <v>5</v>
      </c>
      <c r="F1162" s="3">
        <v>40</v>
      </c>
      <c r="G1162" s="3">
        <v>200</v>
      </c>
      <c r="H1162" s="3">
        <v>0.06</v>
      </c>
      <c r="I1162" s="3">
        <v>12</v>
      </c>
      <c r="J1162" s="3" t="s">
        <v>41</v>
      </c>
    </row>
    <row r="1163" spans="1:10" x14ac:dyDescent="0.35">
      <c r="A1163" s="3" t="s">
        <v>1193</v>
      </c>
      <c r="B1163" s="4">
        <v>43301</v>
      </c>
      <c r="C1163" s="3" t="s">
        <v>15</v>
      </c>
      <c r="D1163" s="3" t="s">
        <v>31</v>
      </c>
      <c r="E1163" s="3">
        <v>11</v>
      </c>
      <c r="F1163" s="3">
        <v>40</v>
      </c>
      <c r="G1163" s="3">
        <v>440</v>
      </c>
      <c r="H1163" s="3">
        <v>0.05</v>
      </c>
      <c r="I1163" s="3">
        <v>22</v>
      </c>
      <c r="J1163" s="3" t="s">
        <v>43</v>
      </c>
    </row>
    <row r="1164" spans="1:10" x14ac:dyDescent="0.35">
      <c r="A1164" s="3" t="s">
        <v>1194</v>
      </c>
      <c r="B1164" s="4">
        <v>43301</v>
      </c>
      <c r="C1164" s="3" t="s">
        <v>34</v>
      </c>
      <c r="D1164" s="3" t="s">
        <v>27</v>
      </c>
      <c r="E1164" s="3">
        <v>20</v>
      </c>
      <c r="F1164" s="3">
        <v>150</v>
      </c>
      <c r="G1164" s="3">
        <v>3000</v>
      </c>
      <c r="H1164" s="3">
        <v>0.1</v>
      </c>
      <c r="I1164" s="3">
        <v>300</v>
      </c>
      <c r="J1164" s="3" t="s">
        <v>13</v>
      </c>
    </row>
    <row r="1165" spans="1:10" x14ac:dyDescent="0.35">
      <c r="A1165" s="3" t="s">
        <v>1195</v>
      </c>
      <c r="B1165" s="4">
        <v>43301</v>
      </c>
      <c r="C1165" s="3" t="s">
        <v>34</v>
      </c>
      <c r="D1165" s="3" t="s">
        <v>24</v>
      </c>
      <c r="E1165" s="3">
        <v>11</v>
      </c>
      <c r="F1165" s="3">
        <v>150</v>
      </c>
      <c r="G1165" s="3">
        <v>1650</v>
      </c>
      <c r="H1165" s="3">
        <v>0.11</v>
      </c>
      <c r="I1165" s="3">
        <v>181.5</v>
      </c>
      <c r="J1165" s="3" t="s">
        <v>17</v>
      </c>
    </row>
    <row r="1166" spans="1:10" x14ac:dyDescent="0.35">
      <c r="A1166" s="3" t="s">
        <v>1196</v>
      </c>
      <c r="B1166" s="4">
        <v>43301</v>
      </c>
      <c r="C1166" s="3" t="s">
        <v>11</v>
      </c>
      <c r="D1166" s="3" t="s">
        <v>27</v>
      </c>
      <c r="E1166" s="3">
        <v>2</v>
      </c>
      <c r="F1166" s="3">
        <v>80</v>
      </c>
      <c r="G1166" s="3">
        <v>160</v>
      </c>
      <c r="H1166" s="3">
        <v>0.08</v>
      </c>
      <c r="I1166" s="3">
        <v>12.8</v>
      </c>
      <c r="J1166" s="3" t="s">
        <v>20</v>
      </c>
    </row>
    <row r="1167" spans="1:10" x14ac:dyDescent="0.35">
      <c r="A1167" s="3" t="s">
        <v>1197</v>
      </c>
      <c r="B1167" s="4">
        <v>43301</v>
      </c>
      <c r="C1167" s="3" t="s">
        <v>34</v>
      </c>
      <c r="D1167" s="3" t="s">
        <v>16</v>
      </c>
      <c r="E1167" s="3">
        <v>16</v>
      </c>
      <c r="F1167" s="3">
        <v>150</v>
      </c>
      <c r="G1167" s="3">
        <v>2400</v>
      </c>
      <c r="H1167" s="3">
        <v>0.08</v>
      </c>
      <c r="I1167" s="3">
        <v>192</v>
      </c>
      <c r="J1167" s="3" t="s">
        <v>22</v>
      </c>
    </row>
    <row r="1168" spans="1:10" x14ac:dyDescent="0.35">
      <c r="A1168" s="3" t="s">
        <v>1198</v>
      </c>
      <c r="B1168" s="4">
        <v>43301</v>
      </c>
      <c r="C1168" s="3" t="s">
        <v>30</v>
      </c>
      <c r="D1168" s="3" t="s">
        <v>12</v>
      </c>
      <c r="E1168" s="3">
        <v>20</v>
      </c>
      <c r="F1168" s="3">
        <v>16</v>
      </c>
      <c r="G1168" s="3">
        <v>320</v>
      </c>
      <c r="H1168" s="3">
        <v>0.11</v>
      </c>
      <c r="I1168" s="3">
        <v>35.200000000000003</v>
      </c>
      <c r="J1168" s="3" t="s">
        <v>25</v>
      </c>
    </row>
    <row r="1169" spans="1:10" x14ac:dyDescent="0.35">
      <c r="A1169" s="3" t="s">
        <v>1199</v>
      </c>
      <c r="B1169" s="4">
        <v>43301</v>
      </c>
      <c r="C1169" s="3" t="s">
        <v>19</v>
      </c>
      <c r="D1169" s="3" t="s">
        <v>24</v>
      </c>
      <c r="E1169" s="3">
        <v>2</v>
      </c>
      <c r="F1169" s="3">
        <v>230</v>
      </c>
      <c r="G1169" s="3">
        <v>460</v>
      </c>
      <c r="H1169" s="3">
        <v>0.09</v>
      </c>
      <c r="I1169" s="3">
        <v>41.4</v>
      </c>
      <c r="J1169" s="3" t="s">
        <v>28</v>
      </c>
    </row>
    <row r="1170" spans="1:10" x14ac:dyDescent="0.35">
      <c r="A1170" s="3" t="s">
        <v>1200</v>
      </c>
      <c r="B1170" s="4">
        <v>43301</v>
      </c>
      <c r="C1170" s="3" t="s">
        <v>34</v>
      </c>
      <c r="D1170" s="3" t="s">
        <v>12</v>
      </c>
      <c r="E1170" s="3">
        <v>20</v>
      </c>
      <c r="F1170" s="3">
        <v>150</v>
      </c>
      <c r="G1170" s="3">
        <v>3000</v>
      </c>
      <c r="H1170" s="3">
        <v>0.04</v>
      </c>
      <c r="I1170" s="3">
        <v>120</v>
      </c>
      <c r="J1170" s="3" t="s">
        <v>17</v>
      </c>
    </row>
    <row r="1171" spans="1:10" x14ac:dyDescent="0.35">
      <c r="A1171" s="3" t="s">
        <v>1201</v>
      </c>
      <c r="B1171" s="4">
        <v>43301</v>
      </c>
      <c r="C1171" s="3" t="s">
        <v>34</v>
      </c>
      <c r="D1171" s="3" t="s">
        <v>12</v>
      </c>
      <c r="E1171" s="3">
        <v>22</v>
      </c>
      <c r="F1171" s="3">
        <v>150</v>
      </c>
      <c r="G1171" s="3">
        <v>3300</v>
      </c>
      <c r="H1171" s="3">
        <v>7.0000000000000007E-2</v>
      </c>
      <c r="I1171" s="3">
        <v>231.00000000000003</v>
      </c>
      <c r="J1171" s="3" t="s">
        <v>20</v>
      </c>
    </row>
    <row r="1172" spans="1:10" x14ac:dyDescent="0.35">
      <c r="A1172" s="3" t="s">
        <v>1202</v>
      </c>
      <c r="B1172" s="4">
        <v>43301</v>
      </c>
      <c r="C1172" s="3" t="s">
        <v>34</v>
      </c>
      <c r="D1172" s="3" t="s">
        <v>24</v>
      </c>
      <c r="E1172" s="3">
        <v>22</v>
      </c>
      <c r="F1172" s="3">
        <v>150</v>
      </c>
      <c r="G1172" s="3">
        <v>3300</v>
      </c>
      <c r="H1172" s="3">
        <v>0.04</v>
      </c>
      <c r="I1172" s="3">
        <v>132</v>
      </c>
      <c r="J1172" s="3" t="s">
        <v>22</v>
      </c>
    </row>
    <row r="1173" spans="1:10" x14ac:dyDescent="0.35">
      <c r="A1173" s="3" t="s">
        <v>1203</v>
      </c>
      <c r="B1173" s="4">
        <v>43301</v>
      </c>
      <c r="C1173" s="3" t="s">
        <v>15</v>
      </c>
      <c r="D1173" s="3" t="s">
        <v>12</v>
      </c>
      <c r="E1173" s="3">
        <v>23</v>
      </c>
      <c r="F1173" s="3">
        <v>40</v>
      </c>
      <c r="G1173" s="3">
        <v>920</v>
      </c>
      <c r="H1173" s="3">
        <v>7.0000000000000007E-2</v>
      </c>
      <c r="I1173" s="3">
        <v>64.400000000000006</v>
      </c>
      <c r="J1173" s="3" t="s">
        <v>25</v>
      </c>
    </row>
    <row r="1174" spans="1:10" x14ac:dyDescent="0.35">
      <c r="A1174" s="3" t="s">
        <v>1204</v>
      </c>
      <c r="B1174" s="4">
        <v>43302</v>
      </c>
      <c r="C1174" s="3" t="s">
        <v>30</v>
      </c>
      <c r="D1174" s="3" t="s">
        <v>24</v>
      </c>
      <c r="E1174" s="3">
        <v>11</v>
      </c>
      <c r="F1174" s="3">
        <v>16</v>
      </c>
      <c r="G1174" s="3">
        <v>176</v>
      </c>
      <c r="H1174" s="3">
        <v>0.04</v>
      </c>
      <c r="I1174" s="3">
        <v>7.04</v>
      </c>
      <c r="J1174" s="3" t="s">
        <v>28</v>
      </c>
    </row>
    <row r="1175" spans="1:10" x14ac:dyDescent="0.35">
      <c r="A1175" s="3" t="s">
        <v>1205</v>
      </c>
      <c r="B1175" s="4">
        <v>43302</v>
      </c>
      <c r="C1175" s="3" t="s">
        <v>19</v>
      </c>
      <c r="D1175" s="3" t="s">
        <v>16</v>
      </c>
      <c r="E1175" s="3">
        <v>11</v>
      </c>
      <c r="F1175" s="3">
        <v>230</v>
      </c>
      <c r="G1175" s="3">
        <v>2530</v>
      </c>
      <c r="H1175" s="3">
        <v>0.1</v>
      </c>
      <c r="I1175" s="3">
        <v>253</v>
      </c>
      <c r="J1175" s="3" t="s">
        <v>32</v>
      </c>
    </row>
    <row r="1176" spans="1:10" x14ac:dyDescent="0.35">
      <c r="A1176" s="3" t="s">
        <v>1206</v>
      </c>
      <c r="B1176" s="4">
        <v>43302</v>
      </c>
      <c r="C1176" s="3" t="s">
        <v>19</v>
      </c>
      <c r="D1176" s="3" t="s">
        <v>12</v>
      </c>
      <c r="E1176" s="3">
        <v>7</v>
      </c>
      <c r="F1176" s="3">
        <v>230</v>
      </c>
      <c r="G1176" s="3">
        <v>1610</v>
      </c>
      <c r="H1176" s="3">
        <v>0.08</v>
      </c>
      <c r="I1176" s="3">
        <v>128.80000000000001</v>
      </c>
      <c r="J1176" s="3" t="s">
        <v>35</v>
      </c>
    </row>
    <row r="1177" spans="1:10" x14ac:dyDescent="0.35">
      <c r="A1177" s="3" t="s">
        <v>1207</v>
      </c>
      <c r="B1177" s="4">
        <v>43302</v>
      </c>
      <c r="C1177" s="3" t="s">
        <v>19</v>
      </c>
      <c r="D1177" s="3" t="s">
        <v>27</v>
      </c>
      <c r="E1177" s="3">
        <v>16</v>
      </c>
      <c r="F1177" s="3">
        <v>230</v>
      </c>
      <c r="G1177" s="3">
        <v>3680</v>
      </c>
      <c r="H1177" s="3">
        <v>0.11</v>
      </c>
      <c r="I1177" s="3">
        <v>404.8</v>
      </c>
      <c r="J1177" s="3" t="s">
        <v>39</v>
      </c>
    </row>
    <row r="1178" spans="1:10" x14ac:dyDescent="0.35">
      <c r="A1178" s="3" t="s">
        <v>1208</v>
      </c>
      <c r="B1178" s="4">
        <v>43302</v>
      </c>
      <c r="C1178" s="3" t="s">
        <v>19</v>
      </c>
      <c r="D1178" s="3" t="s">
        <v>31</v>
      </c>
      <c r="E1178" s="3">
        <v>20</v>
      </c>
      <c r="F1178" s="3">
        <v>230</v>
      </c>
      <c r="G1178" s="3">
        <v>4600</v>
      </c>
      <c r="H1178" s="3">
        <v>0.09</v>
      </c>
      <c r="I1178" s="3">
        <v>414</v>
      </c>
      <c r="J1178" s="3" t="s">
        <v>41</v>
      </c>
    </row>
    <row r="1179" spans="1:10" x14ac:dyDescent="0.35">
      <c r="A1179" s="3" t="s">
        <v>1209</v>
      </c>
      <c r="B1179" s="4">
        <v>43302</v>
      </c>
      <c r="C1179" s="3" t="s">
        <v>15</v>
      </c>
      <c r="D1179" s="3" t="s">
        <v>24</v>
      </c>
      <c r="E1179" s="3">
        <v>20</v>
      </c>
      <c r="F1179" s="3">
        <v>40</v>
      </c>
      <c r="G1179" s="3">
        <v>800</v>
      </c>
      <c r="H1179" s="3">
        <v>0.01</v>
      </c>
      <c r="I1179" s="3">
        <v>8</v>
      </c>
      <c r="J1179" s="3" t="s">
        <v>43</v>
      </c>
    </row>
    <row r="1180" spans="1:10" x14ac:dyDescent="0.35">
      <c r="A1180" s="3" t="s">
        <v>1210</v>
      </c>
      <c r="B1180" s="4">
        <v>43302</v>
      </c>
      <c r="C1180" s="3" t="s">
        <v>11</v>
      </c>
      <c r="D1180" s="3" t="s">
        <v>12</v>
      </c>
      <c r="E1180" s="3">
        <v>20</v>
      </c>
      <c r="F1180" s="3">
        <v>80</v>
      </c>
      <c r="G1180" s="3">
        <v>1600</v>
      </c>
      <c r="H1180" s="3">
        <v>0.01</v>
      </c>
      <c r="I1180" s="3">
        <v>16</v>
      </c>
      <c r="J1180" s="3" t="s">
        <v>13</v>
      </c>
    </row>
    <row r="1181" spans="1:10" x14ac:dyDescent="0.35">
      <c r="A1181" s="3" t="s">
        <v>1211</v>
      </c>
      <c r="B1181" s="4">
        <v>43302</v>
      </c>
      <c r="C1181" s="3" t="s">
        <v>34</v>
      </c>
      <c r="D1181" s="3" t="s">
        <v>12</v>
      </c>
      <c r="E1181" s="3">
        <v>5</v>
      </c>
      <c r="F1181" s="3">
        <v>150</v>
      </c>
      <c r="G1181" s="3">
        <v>750</v>
      </c>
      <c r="H1181" s="3">
        <v>0.11</v>
      </c>
      <c r="I1181" s="3">
        <v>82.5</v>
      </c>
      <c r="J1181" s="3" t="s">
        <v>17</v>
      </c>
    </row>
    <row r="1182" spans="1:10" x14ac:dyDescent="0.35">
      <c r="A1182" s="3" t="s">
        <v>1212</v>
      </c>
      <c r="B1182" s="4">
        <v>43303</v>
      </c>
      <c r="C1182" s="3" t="s">
        <v>15</v>
      </c>
      <c r="D1182" s="3" t="s">
        <v>24</v>
      </c>
      <c r="E1182" s="3">
        <v>4</v>
      </c>
      <c r="F1182" s="3">
        <v>40</v>
      </c>
      <c r="G1182" s="3">
        <v>160</v>
      </c>
      <c r="H1182" s="3">
        <v>0.11</v>
      </c>
      <c r="I1182" s="3">
        <v>17.600000000000001</v>
      </c>
      <c r="J1182" s="3" t="s">
        <v>20</v>
      </c>
    </row>
    <row r="1183" spans="1:10" x14ac:dyDescent="0.35">
      <c r="A1183" s="3" t="s">
        <v>1213</v>
      </c>
      <c r="B1183" s="4">
        <v>43303</v>
      </c>
      <c r="C1183" s="3" t="s">
        <v>30</v>
      </c>
      <c r="D1183" s="3" t="s">
        <v>12</v>
      </c>
      <c r="E1183" s="3">
        <v>7</v>
      </c>
      <c r="F1183" s="3">
        <v>16</v>
      </c>
      <c r="G1183" s="3">
        <v>112</v>
      </c>
      <c r="H1183" s="3">
        <v>0.12</v>
      </c>
      <c r="I1183" s="3">
        <v>13.44</v>
      </c>
      <c r="J1183" s="3" t="s">
        <v>22</v>
      </c>
    </row>
    <row r="1184" spans="1:10" x14ac:dyDescent="0.35">
      <c r="A1184" s="3" t="s">
        <v>1214</v>
      </c>
      <c r="B1184" s="4">
        <v>43303</v>
      </c>
      <c r="C1184" s="3" t="s">
        <v>30</v>
      </c>
      <c r="D1184" s="3" t="s">
        <v>16</v>
      </c>
      <c r="E1184" s="3">
        <v>22</v>
      </c>
      <c r="F1184" s="3">
        <v>16</v>
      </c>
      <c r="G1184" s="3">
        <v>352</v>
      </c>
      <c r="H1184" s="3">
        <v>0.01</v>
      </c>
      <c r="I1184" s="3">
        <v>3.52</v>
      </c>
      <c r="J1184" s="3" t="s">
        <v>25</v>
      </c>
    </row>
    <row r="1185" spans="1:10" x14ac:dyDescent="0.35">
      <c r="A1185" s="3" t="s">
        <v>1215</v>
      </c>
      <c r="B1185" s="4">
        <v>43303</v>
      </c>
      <c r="C1185" s="3" t="s">
        <v>15</v>
      </c>
      <c r="D1185" s="3" t="s">
        <v>27</v>
      </c>
      <c r="E1185" s="3">
        <v>15</v>
      </c>
      <c r="F1185" s="3">
        <v>40</v>
      </c>
      <c r="G1185" s="3">
        <v>600</v>
      </c>
      <c r="H1185" s="3">
        <v>0.03</v>
      </c>
      <c r="I1185" s="3">
        <v>18</v>
      </c>
      <c r="J1185" s="3" t="s">
        <v>28</v>
      </c>
    </row>
    <row r="1186" spans="1:10" x14ac:dyDescent="0.35">
      <c r="A1186" s="3" t="s">
        <v>1216</v>
      </c>
      <c r="B1186" s="4">
        <v>43303</v>
      </c>
      <c r="C1186" s="3" t="s">
        <v>11</v>
      </c>
      <c r="D1186" s="3" t="s">
        <v>16</v>
      </c>
      <c r="E1186" s="3">
        <v>14</v>
      </c>
      <c r="F1186" s="3">
        <v>80</v>
      </c>
      <c r="G1186" s="3">
        <v>1120</v>
      </c>
      <c r="H1186" s="3">
        <v>0.11</v>
      </c>
      <c r="I1186" s="3">
        <v>123.2</v>
      </c>
      <c r="J1186" s="3" t="s">
        <v>17</v>
      </c>
    </row>
    <row r="1187" spans="1:10" x14ac:dyDescent="0.35">
      <c r="A1187" s="3" t="s">
        <v>1217</v>
      </c>
      <c r="B1187" s="4">
        <v>43303</v>
      </c>
      <c r="C1187" s="3" t="s">
        <v>30</v>
      </c>
      <c r="D1187" s="3" t="s">
        <v>16</v>
      </c>
      <c r="E1187" s="3">
        <v>15</v>
      </c>
      <c r="F1187" s="3">
        <v>16</v>
      </c>
      <c r="G1187" s="3">
        <v>240</v>
      </c>
      <c r="H1187" s="3">
        <v>0.02</v>
      </c>
      <c r="I1187" s="3">
        <v>4.8</v>
      </c>
      <c r="J1187" s="3" t="s">
        <v>20</v>
      </c>
    </row>
    <row r="1188" spans="1:10" x14ac:dyDescent="0.35">
      <c r="A1188" s="3" t="s">
        <v>1218</v>
      </c>
      <c r="B1188" s="4">
        <v>43304</v>
      </c>
      <c r="C1188" s="3" t="s">
        <v>11</v>
      </c>
      <c r="D1188" s="3" t="s">
        <v>27</v>
      </c>
      <c r="E1188" s="3">
        <v>19</v>
      </c>
      <c r="F1188" s="3">
        <v>80</v>
      </c>
      <c r="G1188" s="3">
        <v>1520</v>
      </c>
      <c r="H1188" s="3">
        <v>0.02</v>
      </c>
      <c r="I1188" s="3">
        <v>30.400000000000002</v>
      </c>
      <c r="J1188" s="3" t="s">
        <v>22</v>
      </c>
    </row>
    <row r="1189" spans="1:10" x14ac:dyDescent="0.35">
      <c r="A1189" s="3" t="s">
        <v>1219</v>
      </c>
      <c r="B1189" s="4">
        <v>43304</v>
      </c>
      <c r="C1189" s="3" t="s">
        <v>15</v>
      </c>
      <c r="D1189" s="3" t="s">
        <v>31</v>
      </c>
      <c r="E1189" s="3">
        <v>20</v>
      </c>
      <c r="F1189" s="3">
        <v>40</v>
      </c>
      <c r="G1189" s="3">
        <v>800</v>
      </c>
      <c r="H1189" s="3">
        <v>0.05</v>
      </c>
      <c r="I1189" s="3">
        <v>40</v>
      </c>
      <c r="J1189" s="3" t="s">
        <v>25</v>
      </c>
    </row>
    <row r="1190" spans="1:10" x14ac:dyDescent="0.35">
      <c r="A1190" s="3" t="s">
        <v>1220</v>
      </c>
      <c r="B1190" s="4">
        <v>43304</v>
      </c>
      <c r="C1190" s="3" t="s">
        <v>15</v>
      </c>
      <c r="D1190" s="3" t="s">
        <v>27</v>
      </c>
      <c r="E1190" s="3">
        <v>11</v>
      </c>
      <c r="F1190" s="3">
        <v>40</v>
      </c>
      <c r="G1190" s="3">
        <v>440</v>
      </c>
      <c r="H1190" s="3">
        <v>0.06</v>
      </c>
      <c r="I1190" s="3">
        <v>26.4</v>
      </c>
      <c r="J1190" s="3" t="s">
        <v>28</v>
      </c>
    </row>
    <row r="1191" spans="1:10" x14ac:dyDescent="0.35">
      <c r="A1191" s="3" t="s">
        <v>1221</v>
      </c>
      <c r="B1191" s="4">
        <v>43304</v>
      </c>
      <c r="C1191" s="3" t="s">
        <v>34</v>
      </c>
      <c r="D1191" s="3" t="s">
        <v>24</v>
      </c>
      <c r="E1191" s="3">
        <v>11</v>
      </c>
      <c r="F1191" s="3">
        <v>150</v>
      </c>
      <c r="G1191" s="3">
        <v>1650</v>
      </c>
      <c r="H1191" s="3">
        <v>0.05</v>
      </c>
      <c r="I1191" s="3">
        <v>82.5</v>
      </c>
      <c r="J1191" s="3" t="s">
        <v>32</v>
      </c>
    </row>
    <row r="1192" spans="1:10" x14ac:dyDescent="0.35">
      <c r="A1192" s="3" t="s">
        <v>1222</v>
      </c>
      <c r="B1192" s="4">
        <v>43304</v>
      </c>
      <c r="C1192" s="3" t="s">
        <v>11</v>
      </c>
      <c r="D1192" s="3" t="s">
        <v>27</v>
      </c>
      <c r="E1192" s="3">
        <v>23</v>
      </c>
      <c r="F1192" s="3">
        <v>80</v>
      </c>
      <c r="G1192" s="3">
        <v>1840</v>
      </c>
      <c r="H1192" s="3">
        <v>0.11</v>
      </c>
      <c r="I1192" s="3">
        <v>202.4</v>
      </c>
      <c r="J1192" s="3" t="s">
        <v>35</v>
      </c>
    </row>
    <row r="1193" spans="1:10" x14ac:dyDescent="0.35">
      <c r="A1193" s="3" t="s">
        <v>1223</v>
      </c>
      <c r="B1193" s="4">
        <v>43304</v>
      </c>
      <c r="C1193" s="3" t="s">
        <v>11</v>
      </c>
      <c r="D1193" s="3" t="s">
        <v>12</v>
      </c>
      <c r="E1193" s="3">
        <v>8</v>
      </c>
      <c r="F1193" s="3">
        <v>80</v>
      </c>
      <c r="G1193" s="3">
        <v>640</v>
      </c>
      <c r="H1193" s="3">
        <v>0.09</v>
      </c>
      <c r="I1193" s="3">
        <v>57.599999999999994</v>
      </c>
      <c r="J1193" s="3" t="s">
        <v>37</v>
      </c>
    </row>
    <row r="1194" spans="1:10" x14ac:dyDescent="0.35">
      <c r="A1194" s="3" t="s">
        <v>1224</v>
      </c>
      <c r="B1194" s="4">
        <v>43304</v>
      </c>
      <c r="C1194" s="3" t="s">
        <v>15</v>
      </c>
      <c r="D1194" s="3" t="s">
        <v>27</v>
      </c>
      <c r="E1194" s="3">
        <v>9</v>
      </c>
      <c r="F1194" s="3">
        <v>40</v>
      </c>
      <c r="G1194" s="3">
        <v>360</v>
      </c>
      <c r="H1194" s="3">
        <v>0.06</v>
      </c>
      <c r="I1194" s="3">
        <v>21.599999999999998</v>
      </c>
      <c r="J1194" s="3" t="s">
        <v>39</v>
      </c>
    </row>
    <row r="1195" spans="1:10" x14ac:dyDescent="0.35">
      <c r="A1195" s="3" t="s">
        <v>1225</v>
      </c>
      <c r="B1195" s="4">
        <v>43304</v>
      </c>
      <c r="C1195" s="3" t="s">
        <v>19</v>
      </c>
      <c r="D1195" s="3" t="s">
        <v>31</v>
      </c>
      <c r="E1195" s="3">
        <v>13</v>
      </c>
      <c r="F1195" s="3">
        <v>230</v>
      </c>
      <c r="G1195" s="3">
        <v>2990</v>
      </c>
      <c r="H1195" s="3">
        <v>0.06</v>
      </c>
      <c r="I1195" s="3">
        <v>179.4</v>
      </c>
      <c r="J1195" s="3" t="s">
        <v>41</v>
      </c>
    </row>
    <row r="1196" spans="1:10" x14ac:dyDescent="0.35">
      <c r="A1196" s="3" t="s">
        <v>1226</v>
      </c>
      <c r="B1196" s="4">
        <v>43304</v>
      </c>
      <c r="C1196" s="3" t="s">
        <v>15</v>
      </c>
      <c r="D1196" s="3" t="s">
        <v>27</v>
      </c>
      <c r="E1196" s="3">
        <v>22</v>
      </c>
      <c r="F1196" s="3">
        <v>40</v>
      </c>
      <c r="G1196" s="3">
        <v>880</v>
      </c>
      <c r="H1196" s="3">
        <v>0.01</v>
      </c>
      <c r="I1196" s="3">
        <v>8.8000000000000007</v>
      </c>
      <c r="J1196" s="3" t="s">
        <v>43</v>
      </c>
    </row>
    <row r="1197" spans="1:10" x14ac:dyDescent="0.35">
      <c r="A1197" s="3" t="s">
        <v>1227</v>
      </c>
      <c r="B1197" s="4">
        <v>43304</v>
      </c>
      <c r="C1197" s="3" t="s">
        <v>30</v>
      </c>
      <c r="D1197" s="3" t="s">
        <v>31</v>
      </c>
      <c r="E1197" s="3">
        <v>14</v>
      </c>
      <c r="F1197" s="3">
        <v>16</v>
      </c>
      <c r="G1197" s="3">
        <v>224</v>
      </c>
      <c r="H1197" s="3">
        <v>0.06</v>
      </c>
      <c r="I1197" s="3">
        <v>13.44</v>
      </c>
      <c r="J1197" s="3" t="s">
        <v>13</v>
      </c>
    </row>
    <row r="1198" spans="1:10" x14ac:dyDescent="0.35">
      <c r="A1198" s="3" t="s">
        <v>1228</v>
      </c>
      <c r="B1198" s="4">
        <v>43305</v>
      </c>
      <c r="C1198" s="3" t="s">
        <v>11</v>
      </c>
      <c r="D1198" s="3" t="s">
        <v>16</v>
      </c>
      <c r="E1198" s="3">
        <v>5</v>
      </c>
      <c r="F1198" s="3">
        <v>80</v>
      </c>
      <c r="G1198" s="3">
        <v>400</v>
      </c>
      <c r="H1198" s="3">
        <v>0.04</v>
      </c>
      <c r="I1198" s="3">
        <v>16</v>
      </c>
      <c r="J1198" s="3" t="s">
        <v>17</v>
      </c>
    </row>
    <row r="1199" spans="1:10" x14ac:dyDescent="0.35">
      <c r="A1199" s="3" t="s">
        <v>1229</v>
      </c>
      <c r="B1199" s="4">
        <v>43305</v>
      </c>
      <c r="C1199" s="3" t="s">
        <v>34</v>
      </c>
      <c r="D1199" s="3" t="s">
        <v>31</v>
      </c>
      <c r="E1199" s="3">
        <v>18</v>
      </c>
      <c r="F1199" s="3">
        <v>150</v>
      </c>
      <c r="G1199" s="3">
        <v>2700</v>
      </c>
      <c r="H1199" s="3">
        <v>0.12</v>
      </c>
      <c r="I1199" s="3">
        <v>324</v>
      </c>
      <c r="J1199" s="3" t="s">
        <v>20</v>
      </c>
    </row>
    <row r="1200" spans="1:10" x14ac:dyDescent="0.35">
      <c r="A1200" s="3" t="s">
        <v>1230</v>
      </c>
      <c r="B1200" s="4">
        <v>43305</v>
      </c>
      <c r="C1200" s="3" t="s">
        <v>19</v>
      </c>
      <c r="D1200" s="3" t="s">
        <v>24</v>
      </c>
      <c r="E1200" s="3">
        <v>14</v>
      </c>
      <c r="F1200" s="3">
        <v>230</v>
      </c>
      <c r="G1200" s="3">
        <v>3220</v>
      </c>
      <c r="H1200" s="3">
        <v>0.12</v>
      </c>
      <c r="I1200" s="3">
        <v>386.4</v>
      </c>
      <c r="J1200" s="3" t="s">
        <v>22</v>
      </c>
    </row>
    <row r="1201" spans="1:10" x14ac:dyDescent="0.35">
      <c r="A1201" s="3" t="s">
        <v>1231</v>
      </c>
      <c r="B1201" s="4">
        <v>43305</v>
      </c>
      <c r="C1201" s="3" t="s">
        <v>19</v>
      </c>
      <c r="D1201" s="3" t="s">
        <v>31</v>
      </c>
      <c r="E1201" s="3">
        <v>20</v>
      </c>
      <c r="F1201" s="3">
        <v>230</v>
      </c>
      <c r="G1201" s="3">
        <v>4600</v>
      </c>
      <c r="H1201" s="3">
        <v>0.11</v>
      </c>
      <c r="I1201" s="3">
        <v>506</v>
      </c>
      <c r="J1201" s="3" t="s">
        <v>25</v>
      </c>
    </row>
    <row r="1202" spans="1:10" x14ac:dyDescent="0.35">
      <c r="A1202" s="3" t="s">
        <v>1232</v>
      </c>
      <c r="B1202" s="4">
        <v>43305</v>
      </c>
      <c r="C1202" s="3" t="s">
        <v>30</v>
      </c>
      <c r="D1202" s="3" t="s">
        <v>31</v>
      </c>
      <c r="E1202" s="3">
        <v>3</v>
      </c>
      <c r="F1202" s="3">
        <v>16</v>
      </c>
      <c r="G1202" s="3">
        <v>48</v>
      </c>
      <c r="H1202" s="3">
        <v>0.03</v>
      </c>
      <c r="I1202" s="3">
        <v>1.44</v>
      </c>
      <c r="J1202" s="3" t="s">
        <v>28</v>
      </c>
    </row>
    <row r="1203" spans="1:10" x14ac:dyDescent="0.35">
      <c r="A1203" s="3" t="s">
        <v>1233</v>
      </c>
      <c r="B1203" s="4">
        <v>43305</v>
      </c>
      <c r="C1203" s="3" t="s">
        <v>19</v>
      </c>
      <c r="D1203" s="3" t="s">
        <v>24</v>
      </c>
      <c r="E1203" s="3">
        <v>20</v>
      </c>
      <c r="F1203" s="3">
        <v>230</v>
      </c>
      <c r="G1203" s="3">
        <v>4600</v>
      </c>
      <c r="H1203" s="3">
        <v>0.06</v>
      </c>
      <c r="I1203" s="3">
        <v>276</v>
      </c>
      <c r="J1203" s="3" t="s">
        <v>17</v>
      </c>
    </row>
    <row r="1204" spans="1:10" x14ac:dyDescent="0.35">
      <c r="A1204" s="3" t="s">
        <v>1234</v>
      </c>
      <c r="B1204" s="4">
        <v>43305</v>
      </c>
      <c r="C1204" s="3" t="s">
        <v>11</v>
      </c>
      <c r="D1204" s="3" t="s">
        <v>31</v>
      </c>
      <c r="E1204" s="3">
        <v>9</v>
      </c>
      <c r="F1204" s="3">
        <v>80</v>
      </c>
      <c r="G1204" s="3">
        <v>720</v>
      </c>
      <c r="H1204" s="3">
        <v>0.02</v>
      </c>
      <c r="I1204" s="3">
        <v>14.4</v>
      </c>
      <c r="J1204" s="3" t="s">
        <v>20</v>
      </c>
    </row>
    <row r="1205" spans="1:10" x14ac:dyDescent="0.35">
      <c r="A1205" s="3" t="s">
        <v>1235</v>
      </c>
      <c r="B1205" s="4">
        <v>43305</v>
      </c>
      <c r="C1205" s="3" t="s">
        <v>30</v>
      </c>
      <c r="D1205" s="3" t="s">
        <v>27</v>
      </c>
      <c r="E1205" s="3">
        <v>22</v>
      </c>
      <c r="F1205" s="3">
        <v>16</v>
      </c>
      <c r="G1205" s="3">
        <v>352</v>
      </c>
      <c r="H1205" s="3">
        <v>0.03</v>
      </c>
      <c r="I1205" s="3">
        <v>10.559999999999999</v>
      </c>
      <c r="J1205" s="3" t="s">
        <v>22</v>
      </c>
    </row>
    <row r="1206" spans="1:10" x14ac:dyDescent="0.35">
      <c r="A1206" s="3" t="s">
        <v>1236</v>
      </c>
      <c r="B1206" s="4">
        <v>43305</v>
      </c>
      <c r="C1206" s="3" t="s">
        <v>11</v>
      </c>
      <c r="D1206" s="3" t="s">
        <v>16</v>
      </c>
      <c r="E1206" s="3">
        <v>15</v>
      </c>
      <c r="F1206" s="3">
        <v>80</v>
      </c>
      <c r="G1206" s="3">
        <v>1200</v>
      </c>
      <c r="H1206" s="3">
        <v>0.12</v>
      </c>
      <c r="I1206" s="3">
        <v>144</v>
      </c>
      <c r="J1206" s="3" t="s">
        <v>25</v>
      </c>
    </row>
    <row r="1207" spans="1:10" x14ac:dyDescent="0.35">
      <c r="A1207" s="3" t="s">
        <v>1237</v>
      </c>
      <c r="B1207" s="4">
        <v>43305</v>
      </c>
      <c r="C1207" s="3" t="s">
        <v>34</v>
      </c>
      <c r="D1207" s="3" t="s">
        <v>12</v>
      </c>
      <c r="E1207" s="3">
        <v>11</v>
      </c>
      <c r="F1207" s="3">
        <v>150</v>
      </c>
      <c r="G1207" s="3">
        <v>1650</v>
      </c>
      <c r="H1207" s="3">
        <v>0.05</v>
      </c>
      <c r="I1207" s="3">
        <v>82.5</v>
      </c>
      <c r="J1207" s="3" t="s">
        <v>28</v>
      </c>
    </row>
    <row r="1208" spans="1:10" x14ac:dyDescent="0.35">
      <c r="A1208" s="3" t="s">
        <v>1238</v>
      </c>
      <c r="B1208" s="4">
        <v>43305</v>
      </c>
      <c r="C1208" s="3" t="s">
        <v>19</v>
      </c>
      <c r="D1208" s="3" t="s">
        <v>27</v>
      </c>
      <c r="E1208" s="3">
        <v>11</v>
      </c>
      <c r="F1208" s="3">
        <v>230</v>
      </c>
      <c r="G1208" s="3">
        <v>2530</v>
      </c>
      <c r="H1208" s="3">
        <v>0.12</v>
      </c>
      <c r="I1208" s="3">
        <v>303.59999999999997</v>
      </c>
      <c r="J1208" s="3" t="s">
        <v>32</v>
      </c>
    </row>
    <row r="1209" spans="1:10" x14ac:dyDescent="0.35">
      <c r="A1209" s="3" t="s">
        <v>1239</v>
      </c>
      <c r="B1209" s="4">
        <v>43305</v>
      </c>
      <c r="C1209" s="3" t="s">
        <v>34</v>
      </c>
      <c r="D1209" s="3" t="s">
        <v>12</v>
      </c>
      <c r="E1209" s="3">
        <v>20</v>
      </c>
      <c r="F1209" s="3">
        <v>150</v>
      </c>
      <c r="G1209" s="3">
        <v>3000</v>
      </c>
      <c r="H1209" s="3">
        <v>0.01</v>
      </c>
      <c r="I1209" s="3">
        <v>30</v>
      </c>
      <c r="J1209" s="3" t="s">
        <v>35</v>
      </c>
    </row>
    <row r="1210" spans="1:10" x14ac:dyDescent="0.35">
      <c r="A1210" s="3" t="s">
        <v>1240</v>
      </c>
      <c r="B1210" s="4">
        <v>43305</v>
      </c>
      <c r="C1210" s="3" t="s">
        <v>15</v>
      </c>
      <c r="D1210" s="3" t="s">
        <v>24</v>
      </c>
      <c r="E1210" s="3">
        <v>11</v>
      </c>
      <c r="F1210" s="3">
        <v>40</v>
      </c>
      <c r="G1210" s="3">
        <v>440</v>
      </c>
      <c r="H1210" s="3">
        <v>0.12</v>
      </c>
      <c r="I1210" s="3">
        <v>52.8</v>
      </c>
      <c r="J1210" s="3" t="s">
        <v>37</v>
      </c>
    </row>
    <row r="1211" spans="1:10" x14ac:dyDescent="0.35">
      <c r="A1211" s="3" t="s">
        <v>1241</v>
      </c>
      <c r="B1211" s="4">
        <v>43306</v>
      </c>
      <c r="C1211" s="3" t="s">
        <v>19</v>
      </c>
      <c r="D1211" s="3" t="s">
        <v>24</v>
      </c>
      <c r="E1211" s="3">
        <v>12</v>
      </c>
      <c r="F1211" s="3">
        <v>230</v>
      </c>
      <c r="G1211" s="3">
        <v>2760</v>
      </c>
      <c r="H1211" s="3">
        <v>0.06</v>
      </c>
      <c r="I1211" s="3">
        <v>165.6</v>
      </c>
      <c r="J1211" s="3" t="s">
        <v>39</v>
      </c>
    </row>
    <row r="1212" spans="1:10" x14ac:dyDescent="0.35">
      <c r="A1212" s="3" t="s">
        <v>1242</v>
      </c>
      <c r="B1212" s="4">
        <v>43306</v>
      </c>
      <c r="C1212" s="3" t="s">
        <v>15</v>
      </c>
      <c r="D1212" s="3" t="s">
        <v>12</v>
      </c>
      <c r="E1212" s="3">
        <v>15</v>
      </c>
      <c r="F1212" s="3">
        <v>40</v>
      </c>
      <c r="G1212" s="3">
        <v>600</v>
      </c>
      <c r="H1212" s="3">
        <v>0.06</v>
      </c>
      <c r="I1212" s="3">
        <v>36</v>
      </c>
      <c r="J1212" s="3" t="s">
        <v>41</v>
      </c>
    </row>
    <row r="1213" spans="1:10" x14ac:dyDescent="0.35">
      <c r="A1213" s="3" t="s">
        <v>1243</v>
      </c>
      <c r="B1213" s="4">
        <v>43306</v>
      </c>
      <c r="C1213" s="3" t="s">
        <v>15</v>
      </c>
      <c r="D1213" s="3" t="s">
        <v>27</v>
      </c>
      <c r="E1213" s="3">
        <v>13</v>
      </c>
      <c r="F1213" s="3">
        <v>40</v>
      </c>
      <c r="G1213" s="3">
        <v>520</v>
      </c>
      <c r="H1213" s="3">
        <v>0.09</v>
      </c>
      <c r="I1213" s="3">
        <v>46.8</v>
      </c>
      <c r="J1213" s="3" t="s">
        <v>43</v>
      </c>
    </row>
    <row r="1214" spans="1:10" x14ac:dyDescent="0.35">
      <c r="A1214" s="3" t="s">
        <v>1244</v>
      </c>
      <c r="B1214" s="4">
        <v>43306</v>
      </c>
      <c r="C1214" s="3" t="s">
        <v>15</v>
      </c>
      <c r="D1214" s="3" t="s">
        <v>31</v>
      </c>
      <c r="E1214" s="3">
        <v>4</v>
      </c>
      <c r="F1214" s="3">
        <v>40</v>
      </c>
      <c r="G1214" s="3">
        <v>160</v>
      </c>
      <c r="H1214" s="3">
        <v>0.09</v>
      </c>
      <c r="I1214" s="3">
        <v>14.399999999999999</v>
      </c>
      <c r="J1214" s="3" t="s">
        <v>13</v>
      </c>
    </row>
    <row r="1215" spans="1:10" x14ac:dyDescent="0.35">
      <c r="A1215" s="3" t="s">
        <v>1245</v>
      </c>
      <c r="B1215" s="4">
        <v>43306</v>
      </c>
      <c r="C1215" s="3" t="s">
        <v>19</v>
      </c>
      <c r="D1215" s="3" t="s">
        <v>27</v>
      </c>
      <c r="E1215" s="3">
        <v>18</v>
      </c>
      <c r="F1215" s="3">
        <v>230</v>
      </c>
      <c r="G1215" s="3">
        <v>4140</v>
      </c>
      <c r="H1215" s="3">
        <v>0.01</v>
      </c>
      <c r="I1215" s="3">
        <v>41.4</v>
      </c>
      <c r="J1215" s="3" t="s">
        <v>17</v>
      </c>
    </row>
    <row r="1216" spans="1:10" x14ac:dyDescent="0.35">
      <c r="A1216" s="3" t="s">
        <v>1246</v>
      </c>
      <c r="B1216" s="4">
        <v>43306</v>
      </c>
      <c r="C1216" s="3" t="s">
        <v>30</v>
      </c>
      <c r="D1216" s="3" t="s">
        <v>12</v>
      </c>
      <c r="E1216" s="3">
        <v>7</v>
      </c>
      <c r="F1216" s="3">
        <v>16</v>
      </c>
      <c r="G1216" s="3">
        <v>112</v>
      </c>
      <c r="H1216" s="3">
        <v>0.02</v>
      </c>
      <c r="I1216" s="3">
        <v>2.2400000000000002</v>
      </c>
      <c r="J1216" s="3" t="s">
        <v>20</v>
      </c>
    </row>
    <row r="1217" spans="1:10" x14ac:dyDescent="0.35">
      <c r="A1217" s="3" t="s">
        <v>1247</v>
      </c>
      <c r="B1217" s="4">
        <v>43306</v>
      </c>
      <c r="C1217" s="3" t="s">
        <v>30</v>
      </c>
      <c r="D1217" s="3" t="s">
        <v>24</v>
      </c>
      <c r="E1217" s="3">
        <v>6</v>
      </c>
      <c r="F1217" s="3">
        <v>16</v>
      </c>
      <c r="G1217" s="3">
        <v>96</v>
      </c>
      <c r="H1217" s="3">
        <v>7.0000000000000007E-2</v>
      </c>
      <c r="I1217" s="3">
        <v>6.7200000000000006</v>
      </c>
      <c r="J1217" s="3" t="s">
        <v>22</v>
      </c>
    </row>
    <row r="1218" spans="1:10" x14ac:dyDescent="0.35">
      <c r="A1218" s="3" t="s">
        <v>1248</v>
      </c>
      <c r="B1218" s="4">
        <v>43306</v>
      </c>
      <c r="C1218" s="3" t="s">
        <v>19</v>
      </c>
      <c r="D1218" s="3" t="s">
        <v>27</v>
      </c>
      <c r="E1218" s="3">
        <v>8</v>
      </c>
      <c r="F1218" s="3">
        <v>230</v>
      </c>
      <c r="G1218" s="3">
        <v>1840</v>
      </c>
      <c r="H1218" s="3">
        <v>0.05</v>
      </c>
      <c r="I1218" s="3">
        <v>92</v>
      </c>
      <c r="J1218" s="3" t="s">
        <v>25</v>
      </c>
    </row>
    <row r="1219" spans="1:10" x14ac:dyDescent="0.35">
      <c r="A1219" s="3" t="s">
        <v>1249</v>
      </c>
      <c r="B1219" s="4">
        <v>43306</v>
      </c>
      <c r="C1219" s="3" t="s">
        <v>30</v>
      </c>
      <c r="D1219" s="3" t="s">
        <v>24</v>
      </c>
      <c r="E1219" s="3">
        <v>12</v>
      </c>
      <c r="F1219" s="3">
        <v>16</v>
      </c>
      <c r="G1219" s="3">
        <v>192</v>
      </c>
      <c r="H1219" s="3">
        <v>0.11</v>
      </c>
      <c r="I1219" s="3">
        <v>21.12</v>
      </c>
      <c r="J1219" s="3" t="s">
        <v>28</v>
      </c>
    </row>
    <row r="1220" spans="1:10" x14ac:dyDescent="0.35">
      <c r="A1220" s="3" t="s">
        <v>1250</v>
      </c>
      <c r="B1220" s="4">
        <v>43306</v>
      </c>
      <c r="C1220" s="3" t="s">
        <v>19</v>
      </c>
      <c r="D1220" s="3" t="s">
        <v>12</v>
      </c>
      <c r="E1220" s="3">
        <v>11</v>
      </c>
      <c r="F1220" s="3">
        <v>230</v>
      </c>
      <c r="G1220" s="3">
        <v>2530</v>
      </c>
      <c r="H1220" s="3">
        <v>0.02</v>
      </c>
      <c r="I1220" s="3">
        <v>50.6</v>
      </c>
      <c r="J1220" s="3" t="s">
        <v>17</v>
      </c>
    </row>
    <row r="1221" spans="1:10" x14ac:dyDescent="0.35">
      <c r="A1221" s="3" t="s">
        <v>1251</v>
      </c>
      <c r="B1221" s="4">
        <v>43306</v>
      </c>
      <c r="C1221" s="3" t="s">
        <v>30</v>
      </c>
      <c r="D1221" s="3" t="s">
        <v>24</v>
      </c>
      <c r="E1221" s="3">
        <v>3</v>
      </c>
      <c r="F1221" s="3">
        <v>16</v>
      </c>
      <c r="G1221" s="3">
        <v>48</v>
      </c>
      <c r="H1221" s="3">
        <v>0.05</v>
      </c>
      <c r="I1221" s="3">
        <v>2.4000000000000004</v>
      </c>
      <c r="J1221" s="3" t="s">
        <v>20</v>
      </c>
    </row>
    <row r="1222" spans="1:10" x14ac:dyDescent="0.35">
      <c r="A1222" s="3" t="s">
        <v>1252</v>
      </c>
      <c r="B1222" s="4">
        <v>43307</v>
      </c>
      <c r="C1222" s="3" t="s">
        <v>34</v>
      </c>
      <c r="D1222" s="3" t="s">
        <v>16</v>
      </c>
      <c r="E1222" s="3">
        <v>16</v>
      </c>
      <c r="F1222" s="3">
        <v>150</v>
      </c>
      <c r="G1222" s="3">
        <v>2400</v>
      </c>
      <c r="H1222" s="3">
        <v>0.05</v>
      </c>
      <c r="I1222" s="3">
        <v>120</v>
      </c>
      <c r="J1222" s="3" t="s">
        <v>22</v>
      </c>
    </row>
    <row r="1223" spans="1:10" x14ac:dyDescent="0.35">
      <c r="A1223" s="3" t="s">
        <v>1253</v>
      </c>
      <c r="B1223" s="4">
        <v>43307</v>
      </c>
      <c r="C1223" s="3" t="s">
        <v>19</v>
      </c>
      <c r="D1223" s="3" t="s">
        <v>27</v>
      </c>
      <c r="E1223" s="3">
        <v>8</v>
      </c>
      <c r="F1223" s="3">
        <v>230</v>
      </c>
      <c r="G1223" s="3">
        <v>1840</v>
      </c>
      <c r="H1223" s="3">
        <v>0.01</v>
      </c>
      <c r="I1223" s="3">
        <v>18.400000000000002</v>
      </c>
      <c r="J1223" s="3" t="s">
        <v>25</v>
      </c>
    </row>
    <row r="1224" spans="1:10" x14ac:dyDescent="0.35">
      <c r="A1224" s="3" t="s">
        <v>1254</v>
      </c>
      <c r="B1224" s="4">
        <v>43307</v>
      </c>
      <c r="C1224" s="3" t="s">
        <v>11</v>
      </c>
      <c r="D1224" s="3" t="s">
        <v>24</v>
      </c>
      <c r="E1224" s="3">
        <v>16</v>
      </c>
      <c r="F1224" s="3">
        <v>80</v>
      </c>
      <c r="G1224" s="3">
        <v>1280</v>
      </c>
      <c r="H1224" s="3">
        <v>0.04</v>
      </c>
      <c r="I1224" s="3">
        <v>51.2</v>
      </c>
      <c r="J1224" s="3" t="s">
        <v>28</v>
      </c>
    </row>
    <row r="1225" spans="1:10" x14ac:dyDescent="0.35">
      <c r="A1225" s="3" t="s">
        <v>1255</v>
      </c>
      <c r="B1225" s="4">
        <v>43307</v>
      </c>
      <c r="C1225" s="3" t="s">
        <v>30</v>
      </c>
      <c r="D1225" s="3" t="s">
        <v>27</v>
      </c>
      <c r="E1225" s="3">
        <v>18</v>
      </c>
      <c r="F1225" s="3">
        <v>16</v>
      </c>
      <c r="G1225" s="3">
        <v>288</v>
      </c>
      <c r="H1225" s="3">
        <v>0.04</v>
      </c>
      <c r="I1225" s="3">
        <v>11.52</v>
      </c>
      <c r="J1225" s="3" t="s">
        <v>32</v>
      </c>
    </row>
    <row r="1226" spans="1:10" x14ac:dyDescent="0.35">
      <c r="A1226" s="3" t="s">
        <v>1256</v>
      </c>
      <c r="B1226" s="4">
        <v>43307</v>
      </c>
      <c r="C1226" s="3" t="s">
        <v>15</v>
      </c>
      <c r="D1226" s="3" t="s">
        <v>31</v>
      </c>
      <c r="E1226" s="3">
        <v>14</v>
      </c>
      <c r="F1226" s="3">
        <v>40</v>
      </c>
      <c r="G1226" s="3">
        <v>560</v>
      </c>
      <c r="H1226" s="3">
        <v>0.11</v>
      </c>
      <c r="I1226" s="3">
        <v>61.6</v>
      </c>
      <c r="J1226" s="3" t="s">
        <v>35</v>
      </c>
    </row>
    <row r="1227" spans="1:10" x14ac:dyDescent="0.35">
      <c r="A1227" s="3" t="s">
        <v>1257</v>
      </c>
      <c r="B1227" s="4">
        <v>43307</v>
      </c>
      <c r="C1227" s="3" t="s">
        <v>30</v>
      </c>
      <c r="D1227" s="3" t="s">
        <v>16</v>
      </c>
      <c r="E1227" s="3">
        <v>21</v>
      </c>
      <c r="F1227" s="3">
        <v>16</v>
      </c>
      <c r="G1227" s="3">
        <v>336</v>
      </c>
      <c r="H1227" s="3">
        <v>0.02</v>
      </c>
      <c r="I1227" s="3">
        <v>6.72</v>
      </c>
      <c r="J1227" s="3" t="s">
        <v>37</v>
      </c>
    </row>
    <row r="1228" spans="1:10" x14ac:dyDescent="0.35">
      <c r="A1228" s="3" t="s">
        <v>1258</v>
      </c>
      <c r="B1228" s="4">
        <v>43307</v>
      </c>
      <c r="C1228" s="3" t="s">
        <v>30</v>
      </c>
      <c r="D1228" s="3" t="s">
        <v>16</v>
      </c>
      <c r="E1228" s="3">
        <v>7</v>
      </c>
      <c r="F1228" s="3">
        <v>16</v>
      </c>
      <c r="G1228" s="3">
        <v>112</v>
      </c>
      <c r="H1228" s="3">
        <v>0.08</v>
      </c>
      <c r="I1228" s="3">
        <v>8.9600000000000009</v>
      </c>
      <c r="J1228" s="3" t="s">
        <v>39</v>
      </c>
    </row>
    <row r="1229" spans="1:10" x14ac:dyDescent="0.35">
      <c r="A1229" s="3" t="s">
        <v>1259</v>
      </c>
      <c r="B1229" s="4">
        <v>43307</v>
      </c>
      <c r="C1229" s="3" t="s">
        <v>11</v>
      </c>
      <c r="D1229" s="3" t="s">
        <v>24</v>
      </c>
      <c r="E1229" s="3">
        <v>7</v>
      </c>
      <c r="F1229" s="3">
        <v>80</v>
      </c>
      <c r="G1229" s="3">
        <v>560</v>
      </c>
      <c r="H1229" s="3">
        <v>0.05</v>
      </c>
      <c r="I1229" s="3">
        <v>28</v>
      </c>
      <c r="J1229" s="3" t="s">
        <v>41</v>
      </c>
    </row>
    <row r="1230" spans="1:10" x14ac:dyDescent="0.35">
      <c r="A1230" s="3" t="s">
        <v>1260</v>
      </c>
      <c r="B1230" s="4">
        <v>43307</v>
      </c>
      <c r="C1230" s="3" t="s">
        <v>15</v>
      </c>
      <c r="D1230" s="3" t="s">
        <v>31</v>
      </c>
      <c r="E1230" s="3">
        <v>16</v>
      </c>
      <c r="F1230" s="3">
        <v>40</v>
      </c>
      <c r="G1230" s="3">
        <v>640</v>
      </c>
      <c r="H1230" s="3">
        <v>0.09</v>
      </c>
      <c r="I1230" s="3">
        <v>57.599999999999994</v>
      </c>
      <c r="J1230" s="3" t="s">
        <v>43</v>
      </c>
    </row>
    <row r="1231" spans="1:10" x14ac:dyDescent="0.35">
      <c r="A1231" s="3" t="s">
        <v>1261</v>
      </c>
      <c r="B1231" s="4">
        <v>43307</v>
      </c>
      <c r="C1231" s="3" t="s">
        <v>19</v>
      </c>
      <c r="D1231" s="3" t="s">
        <v>31</v>
      </c>
      <c r="E1231" s="3">
        <v>22</v>
      </c>
      <c r="F1231" s="3">
        <v>230</v>
      </c>
      <c r="G1231" s="3">
        <v>5060</v>
      </c>
      <c r="H1231" s="3">
        <v>0.1</v>
      </c>
      <c r="I1231" s="3">
        <v>506</v>
      </c>
      <c r="J1231" s="3" t="s">
        <v>13</v>
      </c>
    </row>
    <row r="1232" spans="1:10" x14ac:dyDescent="0.35">
      <c r="A1232" s="3" t="s">
        <v>1262</v>
      </c>
      <c r="B1232" s="4">
        <v>43307</v>
      </c>
      <c r="C1232" s="3" t="s">
        <v>15</v>
      </c>
      <c r="D1232" s="3" t="s">
        <v>16</v>
      </c>
      <c r="E1232" s="3">
        <v>4</v>
      </c>
      <c r="F1232" s="3">
        <v>40</v>
      </c>
      <c r="G1232" s="3">
        <v>160</v>
      </c>
      <c r="H1232" s="3">
        <v>0.03</v>
      </c>
      <c r="I1232" s="3">
        <v>4.8</v>
      </c>
      <c r="J1232" s="3" t="s">
        <v>17</v>
      </c>
    </row>
    <row r="1233" spans="1:10" x14ac:dyDescent="0.35">
      <c r="A1233" s="3" t="s">
        <v>1263</v>
      </c>
      <c r="B1233" s="4">
        <v>43307</v>
      </c>
      <c r="C1233" s="3" t="s">
        <v>19</v>
      </c>
      <c r="D1233" s="3" t="s">
        <v>31</v>
      </c>
      <c r="E1233" s="3">
        <v>3</v>
      </c>
      <c r="F1233" s="3">
        <v>230</v>
      </c>
      <c r="G1233" s="3">
        <v>690</v>
      </c>
      <c r="H1233" s="3">
        <v>0.1</v>
      </c>
      <c r="I1233" s="3">
        <v>69</v>
      </c>
      <c r="J1233" s="3" t="s">
        <v>20</v>
      </c>
    </row>
    <row r="1234" spans="1:10" x14ac:dyDescent="0.35">
      <c r="A1234" s="3" t="s">
        <v>1264</v>
      </c>
      <c r="B1234" s="4">
        <v>43307</v>
      </c>
      <c r="C1234" s="3" t="s">
        <v>11</v>
      </c>
      <c r="D1234" s="3" t="s">
        <v>16</v>
      </c>
      <c r="E1234" s="3">
        <v>14</v>
      </c>
      <c r="F1234" s="3">
        <v>80</v>
      </c>
      <c r="G1234" s="3">
        <v>1120</v>
      </c>
      <c r="H1234" s="3">
        <v>0.11</v>
      </c>
      <c r="I1234" s="3">
        <v>123.2</v>
      </c>
      <c r="J1234" s="3" t="s">
        <v>22</v>
      </c>
    </row>
    <row r="1235" spans="1:10" x14ac:dyDescent="0.35">
      <c r="A1235" s="3" t="s">
        <v>1265</v>
      </c>
      <c r="B1235" s="4">
        <v>43308</v>
      </c>
      <c r="C1235" s="3" t="s">
        <v>15</v>
      </c>
      <c r="D1235" s="3" t="s">
        <v>31</v>
      </c>
      <c r="E1235" s="3">
        <v>21</v>
      </c>
      <c r="F1235" s="3">
        <v>40</v>
      </c>
      <c r="G1235" s="3">
        <v>840</v>
      </c>
      <c r="H1235" s="3">
        <v>0.01</v>
      </c>
      <c r="I1235" s="3">
        <v>8.4</v>
      </c>
      <c r="J1235" s="3" t="s">
        <v>25</v>
      </c>
    </row>
    <row r="1236" spans="1:10" x14ac:dyDescent="0.35">
      <c r="A1236" s="3" t="s">
        <v>1266</v>
      </c>
      <c r="B1236" s="4">
        <v>43308</v>
      </c>
      <c r="C1236" s="3" t="s">
        <v>30</v>
      </c>
      <c r="D1236" s="3" t="s">
        <v>16</v>
      </c>
      <c r="E1236" s="3">
        <v>20</v>
      </c>
      <c r="F1236" s="3">
        <v>16</v>
      </c>
      <c r="G1236" s="3">
        <v>320</v>
      </c>
      <c r="H1236" s="3">
        <v>0.06</v>
      </c>
      <c r="I1236" s="3">
        <v>19.2</v>
      </c>
      <c r="J1236" s="3" t="s">
        <v>28</v>
      </c>
    </row>
    <row r="1237" spans="1:10" x14ac:dyDescent="0.35">
      <c r="A1237" s="3" t="s">
        <v>1267</v>
      </c>
      <c r="B1237" s="4">
        <v>43308</v>
      </c>
      <c r="C1237" s="3" t="s">
        <v>11</v>
      </c>
      <c r="D1237" s="3" t="s">
        <v>31</v>
      </c>
      <c r="E1237" s="3">
        <v>22</v>
      </c>
      <c r="F1237" s="3">
        <v>80</v>
      </c>
      <c r="G1237" s="3">
        <v>1760</v>
      </c>
      <c r="H1237" s="3">
        <v>0.11</v>
      </c>
      <c r="I1237" s="3">
        <v>193.6</v>
      </c>
      <c r="J1237" s="3" t="s">
        <v>17</v>
      </c>
    </row>
    <row r="1238" spans="1:10" x14ac:dyDescent="0.35">
      <c r="A1238" s="3" t="s">
        <v>1268</v>
      </c>
      <c r="B1238" s="4">
        <v>43308</v>
      </c>
      <c r="C1238" s="3" t="s">
        <v>15</v>
      </c>
      <c r="D1238" s="3" t="s">
        <v>12</v>
      </c>
      <c r="E1238" s="3">
        <v>7</v>
      </c>
      <c r="F1238" s="3">
        <v>40</v>
      </c>
      <c r="G1238" s="3">
        <v>280</v>
      </c>
      <c r="H1238" s="3">
        <v>0.1</v>
      </c>
      <c r="I1238" s="3">
        <v>28</v>
      </c>
      <c r="J1238" s="3" t="s">
        <v>20</v>
      </c>
    </row>
    <row r="1239" spans="1:10" x14ac:dyDescent="0.35">
      <c r="A1239" s="3" t="s">
        <v>1269</v>
      </c>
      <c r="B1239" s="4">
        <v>43308</v>
      </c>
      <c r="C1239" s="3" t="s">
        <v>34</v>
      </c>
      <c r="D1239" s="3" t="s">
        <v>16</v>
      </c>
      <c r="E1239" s="3">
        <v>16</v>
      </c>
      <c r="F1239" s="3">
        <v>150</v>
      </c>
      <c r="G1239" s="3">
        <v>2400</v>
      </c>
      <c r="H1239" s="3">
        <v>0.05</v>
      </c>
      <c r="I1239" s="3">
        <v>120</v>
      </c>
      <c r="J1239" s="3" t="s">
        <v>22</v>
      </c>
    </row>
    <row r="1240" spans="1:10" x14ac:dyDescent="0.35">
      <c r="A1240" s="3" t="s">
        <v>1270</v>
      </c>
      <c r="B1240" s="4">
        <v>43308</v>
      </c>
      <c r="C1240" s="3" t="s">
        <v>19</v>
      </c>
      <c r="D1240" s="3" t="s">
        <v>16</v>
      </c>
      <c r="E1240" s="3">
        <v>7</v>
      </c>
      <c r="F1240" s="3">
        <v>230</v>
      </c>
      <c r="G1240" s="3">
        <v>1610</v>
      </c>
      <c r="H1240" s="3">
        <v>0.05</v>
      </c>
      <c r="I1240" s="3">
        <v>80.5</v>
      </c>
      <c r="J1240" s="3" t="s">
        <v>25</v>
      </c>
    </row>
    <row r="1241" spans="1:10" x14ac:dyDescent="0.35">
      <c r="A1241" s="3" t="s">
        <v>1271</v>
      </c>
      <c r="B1241" s="4">
        <v>43308</v>
      </c>
      <c r="C1241" s="3" t="s">
        <v>34</v>
      </c>
      <c r="D1241" s="3" t="s">
        <v>12</v>
      </c>
      <c r="E1241" s="3">
        <v>20</v>
      </c>
      <c r="F1241" s="3">
        <v>150</v>
      </c>
      <c r="G1241" s="3">
        <v>3000</v>
      </c>
      <c r="H1241" s="3">
        <v>0.03</v>
      </c>
      <c r="I1241" s="3">
        <v>90</v>
      </c>
      <c r="J1241" s="3" t="s">
        <v>28</v>
      </c>
    </row>
    <row r="1242" spans="1:10" x14ac:dyDescent="0.35">
      <c r="A1242" s="3" t="s">
        <v>1272</v>
      </c>
      <c r="B1242" s="4">
        <v>43308</v>
      </c>
      <c r="C1242" s="3" t="s">
        <v>34</v>
      </c>
      <c r="D1242" s="3" t="s">
        <v>16</v>
      </c>
      <c r="E1242" s="3">
        <v>16</v>
      </c>
      <c r="F1242" s="3">
        <v>150</v>
      </c>
      <c r="G1242" s="3">
        <v>2400</v>
      </c>
      <c r="H1242" s="3">
        <v>0.03</v>
      </c>
      <c r="I1242" s="3">
        <v>72</v>
      </c>
      <c r="J1242" s="3" t="s">
        <v>32</v>
      </c>
    </row>
    <row r="1243" spans="1:10" x14ac:dyDescent="0.35">
      <c r="A1243" s="3" t="s">
        <v>1273</v>
      </c>
      <c r="B1243" s="4">
        <v>43308</v>
      </c>
      <c r="C1243" s="3" t="s">
        <v>30</v>
      </c>
      <c r="D1243" s="3" t="s">
        <v>27</v>
      </c>
      <c r="E1243" s="3">
        <v>10</v>
      </c>
      <c r="F1243" s="3">
        <v>16</v>
      </c>
      <c r="G1243" s="3">
        <v>160</v>
      </c>
      <c r="H1243" s="3">
        <v>0.04</v>
      </c>
      <c r="I1243" s="3">
        <v>6.4</v>
      </c>
      <c r="J1243" s="3" t="s">
        <v>35</v>
      </c>
    </row>
    <row r="1244" spans="1:10" x14ac:dyDescent="0.35">
      <c r="A1244" s="3" t="s">
        <v>1274</v>
      </c>
      <c r="B1244" s="4">
        <v>43308</v>
      </c>
      <c r="C1244" s="3" t="s">
        <v>11</v>
      </c>
      <c r="D1244" s="3" t="s">
        <v>31</v>
      </c>
      <c r="E1244" s="3">
        <v>6</v>
      </c>
      <c r="F1244" s="3">
        <v>80</v>
      </c>
      <c r="G1244" s="3">
        <v>480</v>
      </c>
      <c r="H1244" s="3">
        <v>0.09</v>
      </c>
      <c r="I1244" s="3">
        <v>43.199999999999996</v>
      </c>
      <c r="J1244" s="3" t="s">
        <v>37</v>
      </c>
    </row>
    <row r="1245" spans="1:10" x14ac:dyDescent="0.35">
      <c r="A1245" s="3" t="s">
        <v>1275</v>
      </c>
      <c r="B1245" s="4">
        <v>43308</v>
      </c>
      <c r="C1245" s="3" t="s">
        <v>11</v>
      </c>
      <c r="D1245" s="3" t="s">
        <v>12</v>
      </c>
      <c r="E1245" s="3">
        <v>17</v>
      </c>
      <c r="F1245" s="3">
        <v>80</v>
      </c>
      <c r="G1245" s="3">
        <v>1360</v>
      </c>
      <c r="H1245" s="3">
        <v>0.09</v>
      </c>
      <c r="I1245" s="3">
        <v>122.39999999999999</v>
      </c>
      <c r="J1245" s="3" t="s">
        <v>39</v>
      </c>
    </row>
    <row r="1246" spans="1:10" x14ac:dyDescent="0.35">
      <c r="A1246" s="3" t="s">
        <v>1276</v>
      </c>
      <c r="B1246" s="4">
        <v>43308</v>
      </c>
      <c r="C1246" s="3" t="s">
        <v>15</v>
      </c>
      <c r="D1246" s="3" t="s">
        <v>12</v>
      </c>
      <c r="E1246" s="3">
        <v>19</v>
      </c>
      <c r="F1246" s="3">
        <v>40</v>
      </c>
      <c r="G1246" s="3">
        <v>760</v>
      </c>
      <c r="H1246" s="3">
        <v>0.04</v>
      </c>
      <c r="I1246" s="3">
        <v>30.400000000000002</v>
      </c>
      <c r="J1246" s="3" t="s">
        <v>41</v>
      </c>
    </row>
    <row r="1247" spans="1:10" x14ac:dyDescent="0.35">
      <c r="A1247" s="3" t="s">
        <v>1277</v>
      </c>
      <c r="B1247" s="4">
        <v>43308</v>
      </c>
      <c r="C1247" s="3" t="s">
        <v>15</v>
      </c>
      <c r="D1247" s="3" t="s">
        <v>31</v>
      </c>
      <c r="E1247" s="3">
        <v>16</v>
      </c>
      <c r="F1247" s="3">
        <v>40</v>
      </c>
      <c r="G1247" s="3">
        <v>640</v>
      </c>
      <c r="H1247" s="3">
        <v>0.09</v>
      </c>
      <c r="I1247" s="3">
        <v>57.599999999999994</v>
      </c>
      <c r="J1247" s="3" t="s">
        <v>43</v>
      </c>
    </row>
    <row r="1248" spans="1:10" x14ac:dyDescent="0.35">
      <c r="A1248" s="3" t="s">
        <v>1278</v>
      </c>
      <c r="B1248" s="4">
        <v>43308</v>
      </c>
      <c r="C1248" s="3" t="s">
        <v>30</v>
      </c>
      <c r="D1248" s="3" t="s">
        <v>12</v>
      </c>
      <c r="E1248" s="3">
        <v>4</v>
      </c>
      <c r="F1248" s="3">
        <v>16</v>
      </c>
      <c r="G1248" s="3">
        <v>64</v>
      </c>
      <c r="H1248" s="3">
        <v>0.12</v>
      </c>
      <c r="I1248" s="3">
        <v>7.68</v>
      </c>
      <c r="J1248" s="3" t="s">
        <v>13</v>
      </c>
    </row>
    <row r="1249" spans="1:10" x14ac:dyDescent="0.35">
      <c r="A1249" s="3" t="s">
        <v>1279</v>
      </c>
      <c r="B1249" s="4">
        <v>43308</v>
      </c>
      <c r="C1249" s="3" t="s">
        <v>34</v>
      </c>
      <c r="D1249" s="3" t="s">
        <v>27</v>
      </c>
      <c r="E1249" s="3">
        <v>9</v>
      </c>
      <c r="F1249" s="3">
        <v>150</v>
      </c>
      <c r="G1249" s="3">
        <v>1350</v>
      </c>
      <c r="H1249" s="3">
        <v>0.02</v>
      </c>
      <c r="I1249" s="3">
        <v>27</v>
      </c>
      <c r="J1249" s="3" t="s">
        <v>17</v>
      </c>
    </row>
    <row r="1250" spans="1:10" x14ac:dyDescent="0.35">
      <c r="A1250" s="3" t="s">
        <v>1280</v>
      </c>
      <c r="B1250" s="4">
        <v>43308</v>
      </c>
      <c r="C1250" s="3" t="s">
        <v>30</v>
      </c>
      <c r="D1250" s="3" t="s">
        <v>12</v>
      </c>
      <c r="E1250" s="3">
        <v>11</v>
      </c>
      <c r="F1250" s="3">
        <v>16</v>
      </c>
      <c r="G1250" s="3">
        <v>176</v>
      </c>
      <c r="H1250" s="3">
        <v>0.09</v>
      </c>
      <c r="I1250" s="3">
        <v>15.84</v>
      </c>
      <c r="J1250" s="3" t="s">
        <v>20</v>
      </c>
    </row>
    <row r="1251" spans="1:10" x14ac:dyDescent="0.35">
      <c r="A1251" s="3" t="s">
        <v>1281</v>
      </c>
      <c r="B1251" s="4">
        <v>43308</v>
      </c>
      <c r="C1251" s="3" t="s">
        <v>11</v>
      </c>
      <c r="D1251" s="3" t="s">
        <v>16</v>
      </c>
      <c r="E1251" s="3">
        <v>17</v>
      </c>
      <c r="F1251" s="3">
        <v>80</v>
      </c>
      <c r="G1251" s="3">
        <v>1360</v>
      </c>
      <c r="H1251" s="3">
        <v>0.03</v>
      </c>
      <c r="I1251" s="3">
        <v>40.799999999999997</v>
      </c>
      <c r="J1251" s="3" t="s">
        <v>22</v>
      </c>
    </row>
    <row r="1252" spans="1:10" x14ac:dyDescent="0.35">
      <c r="A1252" s="3" t="s">
        <v>1282</v>
      </c>
      <c r="B1252" s="4">
        <v>43309</v>
      </c>
      <c r="C1252" s="3" t="s">
        <v>34</v>
      </c>
      <c r="D1252" s="3" t="s">
        <v>12</v>
      </c>
      <c r="E1252" s="3">
        <v>3</v>
      </c>
      <c r="F1252" s="3">
        <v>150</v>
      </c>
      <c r="G1252" s="3">
        <v>450</v>
      </c>
      <c r="H1252" s="3">
        <v>0.03</v>
      </c>
      <c r="I1252" s="3">
        <v>13.5</v>
      </c>
      <c r="J1252" s="3" t="s">
        <v>25</v>
      </c>
    </row>
    <row r="1253" spans="1:10" x14ac:dyDescent="0.35">
      <c r="A1253" s="3" t="s">
        <v>1283</v>
      </c>
      <c r="B1253" s="4">
        <v>43309</v>
      </c>
      <c r="C1253" s="3" t="s">
        <v>19</v>
      </c>
      <c r="D1253" s="3" t="s">
        <v>27</v>
      </c>
      <c r="E1253" s="3">
        <v>2</v>
      </c>
      <c r="F1253" s="3">
        <v>230</v>
      </c>
      <c r="G1253" s="3">
        <v>460</v>
      </c>
      <c r="H1253" s="3">
        <v>0.08</v>
      </c>
      <c r="I1253" s="3">
        <v>36.800000000000004</v>
      </c>
      <c r="J1253" s="3" t="s">
        <v>28</v>
      </c>
    </row>
    <row r="1254" spans="1:10" x14ac:dyDescent="0.35">
      <c r="A1254" s="3" t="s">
        <v>1284</v>
      </c>
      <c r="B1254" s="4">
        <v>43309</v>
      </c>
      <c r="C1254" s="3" t="s">
        <v>19</v>
      </c>
      <c r="D1254" s="3" t="s">
        <v>27</v>
      </c>
      <c r="E1254" s="3">
        <v>17</v>
      </c>
      <c r="F1254" s="3">
        <v>230</v>
      </c>
      <c r="G1254" s="3">
        <v>3910</v>
      </c>
      <c r="H1254" s="3">
        <v>0.12</v>
      </c>
      <c r="I1254" s="3">
        <v>469.2</v>
      </c>
      <c r="J1254" s="3" t="s">
        <v>17</v>
      </c>
    </row>
    <row r="1255" spans="1:10" x14ac:dyDescent="0.35">
      <c r="A1255" s="3" t="s">
        <v>1285</v>
      </c>
      <c r="B1255" s="4">
        <v>43309</v>
      </c>
      <c r="C1255" s="3" t="s">
        <v>34</v>
      </c>
      <c r="D1255" s="3" t="s">
        <v>16</v>
      </c>
      <c r="E1255" s="3">
        <v>2</v>
      </c>
      <c r="F1255" s="3">
        <v>150</v>
      </c>
      <c r="G1255" s="3">
        <v>300</v>
      </c>
      <c r="H1255" s="3">
        <v>0.09</v>
      </c>
      <c r="I1255" s="3">
        <v>27</v>
      </c>
      <c r="J1255" s="3" t="s">
        <v>20</v>
      </c>
    </row>
    <row r="1256" spans="1:10" x14ac:dyDescent="0.35">
      <c r="A1256" s="3" t="s">
        <v>1286</v>
      </c>
      <c r="B1256" s="4">
        <v>43309</v>
      </c>
      <c r="C1256" s="3" t="s">
        <v>15</v>
      </c>
      <c r="D1256" s="3" t="s">
        <v>27</v>
      </c>
      <c r="E1256" s="3">
        <v>18</v>
      </c>
      <c r="F1256" s="3">
        <v>40</v>
      </c>
      <c r="G1256" s="3">
        <v>720</v>
      </c>
      <c r="H1256" s="3">
        <v>0.06</v>
      </c>
      <c r="I1256" s="3">
        <v>43.199999999999996</v>
      </c>
      <c r="J1256" s="3" t="s">
        <v>22</v>
      </c>
    </row>
    <row r="1257" spans="1:10" x14ac:dyDescent="0.35">
      <c r="A1257" s="3" t="s">
        <v>1287</v>
      </c>
      <c r="B1257" s="4">
        <v>43309</v>
      </c>
      <c r="C1257" s="3" t="s">
        <v>34</v>
      </c>
      <c r="D1257" s="3" t="s">
        <v>24</v>
      </c>
      <c r="E1257" s="3">
        <v>18</v>
      </c>
      <c r="F1257" s="3">
        <v>150</v>
      </c>
      <c r="G1257" s="3">
        <v>2700</v>
      </c>
      <c r="H1257" s="3">
        <v>0.06</v>
      </c>
      <c r="I1257" s="3">
        <v>162</v>
      </c>
      <c r="J1257" s="3" t="s">
        <v>25</v>
      </c>
    </row>
    <row r="1258" spans="1:10" x14ac:dyDescent="0.35">
      <c r="A1258" s="3" t="s">
        <v>1288</v>
      </c>
      <c r="B1258" s="4">
        <v>43309</v>
      </c>
      <c r="C1258" s="3" t="s">
        <v>15</v>
      </c>
      <c r="D1258" s="3" t="s">
        <v>16</v>
      </c>
      <c r="E1258" s="3">
        <v>12</v>
      </c>
      <c r="F1258" s="3">
        <v>40</v>
      </c>
      <c r="G1258" s="3">
        <v>480</v>
      </c>
      <c r="H1258" s="3">
        <v>0.1</v>
      </c>
      <c r="I1258" s="3">
        <v>48</v>
      </c>
      <c r="J1258" s="3" t="s">
        <v>28</v>
      </c>
    </row>
    <row r="1259" spans="1:10" x14ac:dyDescent="0.35">
      <c r="A1259" s="3" t="s">
        <v>1289</v>
      </c>
      <c r="B1259" s="4">
        <v>43309</v>
      </c>
      <c r="C1259" s="3" t="s">
        <v>11</v>
      </c>
      <c r="D1259" s="3" t="s">
        <v>12</v>
      </c>
      <c r="E1259" s="3">
        <v>21</v>
      </c>
      <c r="F1259" s="3">
        <v>80</v>
      </c>
      <c r="G1259" s="3">
        <v>1680</v>
      </c>
      <c r="H1259" s="3">
        <v>0.04</v>
      </c>
      <c r="I1259" s="3">
        <v>67.2</v>
      </c>
      <c r="J1259" s="3" t="s">
        <v>32</v>
      </c>
    </row>
    <row r="1260" spans="1:10" x14ac:dyDescent="0.35">
      <c r="A1260" s="3" t="s">
        <v>1290</v>
      </c>
      <c r="B1260" s="4">
        <v>43309</v>
      </c>
      <c r="C1260" s="3" t="s">
        <v>15</v>
      </c>
      <c r="D1260" s="3" t="s">
        <v>31</v>
      </c>
      <c r="E1260" s="3">
        <v>3</v>
      </c>
      <c r="F1260" s="3">
        <v>40</v>
      </c>
      <c r="G1260" s="3">
        <v>120</v>
      </c>
      <c r="H1260" s="3">
        <v>0.03</v>
      </c>
      <c r="I1260" s="3">
        <v>3.5999999999999996</v>
      </c>
      <c r="J1260" s="3" t="s">
        <v>35</v>
      </c>
    </row>
    <row r="1261" spans="1:10" x14ac:dyDescent="0.35">
      <c r="A1261" s="3" t="s">
        <v>1291</v>
      </c>
      <c r="B1261" s="4">
        <v>43309</v>
      </c>
      <c r="C1261" s="3" t="s">
        <v>11</v>
      </c>
      <c r="D1261" s="3" t="s">
        <v>31</v>
      </c>
      <c r="E1261" s="3">
        <v>22</v>
      </c>
      <c r="F1261" s="3">
        <v>80</v>
      </c>
      <c r="G1261" s="3">
        <v>1760</v>
      </c>
      <c r="H1261" s="3">
        <v>0.1</v>
      </c>
      <c r="I1261" s="3">
        <v>176</v>
      </c>
      <c r="J1261" s="3" t="s">
        <v>37</v>
      </c>
    </row>
    <row r="1262" spans="1:10" x14ac:dyDescent="0.35">
      <c r="A1262" s="3" t="s">
        <v>1292</v>
      </c>
      <c r="B1262" s="4">
        <v>43309</v>
      </c>
      <c r="C1262" s="3" t="s">
        <v>15</v>
      </c>
      <c r="D1262" s="3" t="s">
        <v>31</v>
      </c>
      <c r="E1262" s="3">
        <v>16</v>
      </c>
      <c r="F1262" s="3">
        <v>40</v>
      </c>
      <c r="G1262" s="3">
        <v>640</v>
      </c>
      <c r="H1262" s="3">
        <v>0.11</v>
      </c>
      <c r="I1262" s="3">
        <v>70.400000000000006</v>
      </c>
      <c r="J1262" s="3" t="s">
        <v>39</v>
      </c>
    </row>
    <row r="1263" spans="1:10" x14ac:dyDescent="0.35">
      <c r="A1263" s="3" t="s">
        <v>1293</v>
      </c>
      <c r="B1263" s="4">
        <v>43309</v>
      </c>
      <c r="C1263" s="3" t="s">
        <v>30</v>
      </c>
      <c r="D1263" s="3" t="s">
        <v>12</v>
      </c>
      <c r="E1263" s="3">
        <v>11</v>
      </c>
      <c r="F1263" s="3">
        <v>16</v>
      </c>
      <c r="G1263" s="3">
        <v>176</v>
      </c>
      <c r="H1263" s="3">
        <v>0.09</v>
      </c>
      <c r="I1263" s="3">
        <v>15.84</v>
      </c>
      <c r="J1263" s="3" t="s">
        <v>41</v>
      </c>
    </row>
    <row r="1264" spans="1:10" x14ac:dyDescent="0.35">
      <c r="A1264" s="3" t="s">
        <v>1294</v>
      </c>
      <c r="B1264" s="4">
        <v>43310</v>
      </c>
      <c r="C1264" s="3" t="s">
        <v>11</v>
      </c>
      <c r="D1264" s="3" t="s">
        <v>24</v>
      </c>
      <c r="E1264" s="3">
        <v>10</v>
      </c>
      <c r="F1264" s="3">
        <v>80</v>
      </c>
      <c r="G1264" s="3">
        <v>800</v>
      </c>
      <c r="H1264" s="3">
        <v>0.08</v>
      </c>
      <c r="I1264" s="3">
        <v>64</v>
      </c>
      <c r="J1264" s="3" t="s">
        <v>43</v>
      </c>
    </row>
    <row r="1265" spans="1:10" x14ac:dyDescent="0.35">
      <c r="A1265" s="3" t="s">
        <v>1295</v>
      </c>
      <c r="B1265" s="4">
        <v>43310</v>
      </c>
      <c r="C1265" s="3" t="s">
        <v>30</v>
      </c>
      <c r="D1265" s="3" t="s">
        <v>24</v>
      </c>
      <c r="E1265" s="3">
        <v>12</v>
      </c>
      <c r="F1265" s="3">
        <v>16</v>
      </c>
      <c r="G1265" s="3">
        <v>192</v>
      </c>
      <c r="H1265" s="3">
        <v>0.03</v>
      </c>
      <c r="I1265" s="3">
        <v>5.76</v>
      </c>
      <c r="J1265" s="3" t="s">
        <v>13</v>
      </c>
    </row>
    <row r="1266" spans="1:10" x14ac:dyDescent="0.35">
      <c r="A1266" s="3" t="s">
        <v>1296</v>
      </c>
      <c r="B1266" s="4">
        <v>43310</v>
      </c>
      <c r="C1266" s="3" t="s">
        <v>34</v>
      </c>
      <c r="D1266" s="3" t="s">
        <v>12</v>
      </c>
      <c r="E1266" s="3">
        <v>8</v>
      </c>
      <c r="F1266" s="3">
        <v>150</v>
      </c>
      <c r="G1266" s="3">
        <v>1200</v>
      </c>
      <c r="H1266" s="3">
        <v>0.09</v>
      </c>
      <c r="I1266" s="3">
        <v>108</v>
      </c>
      <c r="J1266" s="3" t="s">
        <v>17</v>
      </c>
    </row>
    <row r="1267" spans="1:10" x14ac:dyDescent="0.35">
      <c r="A1267" s="3" t="s">
        <v>1297</v>
      </c>
      <c r="B1267" s="4">
        <v>43310</v>
      </c>
      <c r="C1267" s="3" t="s">
        <v>15</v>
      </c>
      <c r="D1267" s="3" t="s">
        <v>31</v>
      </c>
      <c r="E1267" s="3">
        <v>10</v>
      </c>
      <c r="F1267" s="3">
        <v>40</v>
      </c>
      <c r="G1267" s="3">
        <v>400</v>
      </c>
      <c r="H1267" s="3">
        <v>0.03</v>
      </c>
      <c r="I1267" s="3">
        <v>12</v>
      </c>
      <c r="J1267" s="3" t="s">
        <v>20</v>
      </c>
    </row>
    <row r="1268" spans="1:10" x14ac:dyDescent="0.35">
      <c r="A1268" s="3" t="s">
        <v>1298</v>
      </c>
      <c r="B1268" s="4">
        <v>43310</v>
      </c>
      <c r="C1268" s="3" t="s">
        <v>34</v>
      </c>
      <c r="D1268" s="3" t="s">
        <v>12</v>
      </c>
      <c r="E1268" s="3">
        <v>7</v>
      </c>
      <c r="F1268" s="3">
        <v>150</v>
      </c>
      <c r="G1268" s="3">
        <v>1050</v>
      </c>
      <c r="H1268" s="3">
        <v>0.02</v>
      </c>
      <c r="I1268" s="3">
        <v>21</v>
      </c>
      <c r="J1268" s="3" t="s">
        <v>22</v>
      </c>
    </row>
    <row r="1269" spans="1:10" x14ac:dyDescent="0.35">
      <c r="A1269" s="3" t="s">
        <v>1299</v>
      </c>
      <c r="B1269" s="4">
        <v>43310</v>
      </c>
      <c r="C1269" s="3" t="s">
        <v>30</v>
      </c>
      <c r="D1269" s="3" t="s">
        <v>24</v>
      </c>
      <c r="E1269" s="3">
        <v>6</v>
      </c>
      <c r="F1269" s="3">
        <v>16</v>
      </c>
      <c r="G1269" s="3">
        <v>96</v>
      </c>
      <c r="H1269" s="3">
        <v>0.01</v>
      </c>
      <c r="I1269" s="3">
        <v>0.96</v>
      </c>
      <c r="J1269" s="3" t="s">
        <v>25</v>
      </c>
    </row>
    <row r="1270" spans="1:10" x14ac:dyDescent="0.35">
      <c r="A1270" s="3" t="s">
        <v>1300</v>
      </c>
      <c r="B1270" s="4">
        <v>43310</v>
      </c>
      <c r="C1270" s="3" t="s">
        <v>11</v>
      </c>
      <c r="D1270" s="3" t="s">
        <v>27</v>
      </c>
      <c r="E1270" s="3">
        <v>15</v>
      </c>
      <c r="F1270" s="3">
        <v>80</v>
      </c>
      <c r="G1270" s="3">
        <v>1200</v>
      </c>
      <c r="H1270" s="3">
        <v>0.08</v>
      </c>
      <c r="I1270" s="3">
        <v>96</v>
      </c>
      <c r="J1270" s="3" t="s">
        <v>28</v>
      </c>
    </row>
    <row r="1271" spans="1:10" x14ac:dyDescent="0.35">
      <c r="A1271" s="3" t="s">
        <v>1301</v>
      </c>
      <c r="B1271" s="4">
        <v>43310</v>
      </c>
      <c r="C1271" s="3" t="s">
        <v>30</v>
      </c>
      <c r="D1271" s="3" t="s">
        <v>31</v>
      </c>
      <c r="E1271" s="3">
        <v>13</v>
      </c>
      <c r="F1271" s="3">
        <v>16</v>
      </c>
      <c r="G1271" s="3">
        <v>208</v>
      </c>
      <c r="H1271" s="3">
        <v>7.0000000000000007E-2</v>
      </c>
      <c r="I1271" s="3">
        <v>14.560000000000002</v>
      </c>
      <c r="J1271" s="3" t="s">
        <v>17</v>
      </c>
    </row>
    <row r="1272" spans="1:10" x14ac:dyDescent="0.35">
      <c r="A1272" s="3" t="s">
        <v>1302</v>
      </c>
      <c r="B1272" s="4">
        <v>43310</v>
      </c>
      <c r="C1272" s="3" t="s">
        <v>19</v>
      </c>
      <c r="D1272" s="3" t="s">
        <v>27</v>
      </c>
      <c r="E1272" s="3">
        <v>19</v>
      </c>
      <c r="F1272" s="3">
        <v>230</v>
      </c>
      <c r="G1272" s="3">
        <v>4370</v>
      </c>
      <c r="H1272" s="3">
        <v>0.06</v>
      </c>
      <c r="I1272" s="3">
        <v>262.2</v>
      </c>
      <c r="J1272" s="3" t="s">
        <v>20</v>
      </c>
    </row>
    <row r="1273" spans="1:10" x14ac:dyDescent="0.35">
      <c r="A1273" s="3" t="s">
        <v>1303</v>
      </c>
      <c r="B1273" s="4">
        <v>43310</v>
      </c>
      <c r="C1273" s="3" t="s">
        <v>11</v>
      </c>
      <c r="D1273" s="3" t="s">
        <v>27</v>
      </c>
      <c r="E1273" s="3">
        <v>21</v>
      </c>
      <c r="F1273" s="3">
        <v>80</v>
      </c>
      <c r="G1273" s="3">
        <v>1680</v>
      </c>
      <c r="H1273" s="3">
        <v>0.05</v>
      </c>
      <c r="I1273" s="3">
        <v>84</v>
      </c>
      <c r="J1273" s="3" t="s">
        <v>22</v>
      </c>
    </row>
    <row r="1274" spans="1:10" x14ac:dyDescent="0.35">
      <c r="A1274" s="3" t="s">
        <v>1304</v>
      </c>
      <c r="B1274" s="4">
        <v>43310</v>
      </c>
      <c r="C1274" s="3" t="s">
        <v>11</v>
      </c>
      <c r="D1274" s="3" t="s">
        <v>16</v>
      </c>
      <c r="E1274" s="3">
        <v>5</v>
      </c>
      <c r="F1274" s="3">
        <v>80</v>
      </c>
      <c r="G1274" s="3">
        <v>400</v>
      </c>
      <c r="H1274" s="3">
        <v>7.0000000000000007E-2</v>
      </c>
      <c r="I1274" s="3">
        <v>28.000000000000004</v>
      </c>
      <c r="J1274" s="3" t="s">
        <v>25</v>
      </c>
    </row>
    <row r="1275" spans="1:10" x14ac:dyDescent="0.35">
      <c r="A1275" s="3" t="s">
        <v>1305</v>
      </c>
      <c r="B1275" s="4">
        <v>43310</v>
      </c>
      <c r="C1275" s="3" t="s">
        <v>30</v>
      </c>
      <c r="D1275" s="3" t="s">
        <v>24</v>
      </c>
      <c r="E1275" s="3">
        <v>8</v>
      </c>
      <c r="F1275" s="3">
        <v>16</v>
      </c>
      <c r="G1275" s="3">
        <v>128</v>
      </c>
      <c r="H1275" s="3">
        <v>0.03</v>
      </c>
      <c r="I1275" s="3">
        <v>3.84</v>
      </c>
      <c r="J1275" s="3" t="s">
        <v>28</v>
      </c>
    </row>
    <row r="1276" spans="1:10" x14ac:dyDescent="0.35">
      <c r="A1276" s="3" t="s">
        <v>1306</v>
      </c>
      <c r="B1276" s="4">
        <v>43310</v>
      </c>
      <c r="C1276" s="3" t="s">
        <v>30</v>
      </c>
      <c r="D1276" s="3" t="s">
        <v>24</v>
      </c>
      <c r="E1276" s="3">
        <v>12</v>
      </c>
      <c r="F1276" s="3">
        <v>16</v>
      </c>
      <c r="G1276" s="3">
        <v>192</v>
      </c>
      <c r="H1276" s="3">
        <v>0.11</v>
      </c>
      <c r="I1276" s="3">
        <v>21.12</v>
      </c>
      <c r="J1276" s="3" t="s">
        <v>32</v>
      </c>
    </row>
    <row r="1277" spans="1:10" x14ac:dyDescent="0.35">
      <c r="A1277" s="3" t="s">
        <v>1307</v>
      </c>
      <c r="B1277" s="4">
        <v>43310</v>
      </c>
      <c r="C1277" s="3" t="s">
        <v>11</v>
      </c>
      <c r="D1277" s="3" t="s">
        <v>27</v>
      </c>
      <c r="E1277" s="3">
        <v>22</v>
      </c>
      <c r="F1277" s="3">
        <v>80</v>
      </c>
      <c r="G1277" s="3">
        <v>1760</v>
      </c>
      <c r="H1277" s="3">
        <v>0.03</v>
      </c>
      <c r="I1277" s="3">
        <v>52.8</v>
      </c>
      <c r="J1277" s="3" t="s">
        <v>35</v>
      </c>
    </row>
    <row r="1278" spans="1:10" x14ac:dyDescent="0.35">
      <c r="A1278" s="3" t="s">
        <v>1308</v>
      </c>
      <c r="B1278" s="4">
        <v>43310</v>
      </c>
      <c r="C1278" s="3" t="s">
        <v>15</v>
      </c>
      <c r="D1278" s="3" t="s">
        <v>12</v>
      </c>
      <c r="E1278" s="3">
        <v>5</v>
      </c>
      <c r="F1278" s="3">
        <v>40</v>
      </c>
      <c r="G1278" s="3">
        <v>200</v>
      </c>
      <c r="H1278" s="3">
        <v>0.09</v>
      </c>
      <c r="I1278" s="3">
        <v>18</v>
      </c>
      <c r="J1278" s="3" t="s">
        <v>37</v>
      </c>
    </row>
    <row r="1279" spans="1:10" x14ac:dyDescent="0.35">
      <c r="A1279" s="3" t="s">
        <v>1309</v>
      </c>
      <c r="B1279" s="4">
        <v>43311</v>
      </c>
      <c r="C1279" s="3" t="s">
        <v>34</v>
      </c>
      <c r="D1279" s="3" t="s">
        <v>16</v>
      </c>
      <c r="E1279" s="3">
        <v>23</v>
      </c>
      <c r="F1279" s="3">
        <v>150</v>
      </c>
      <c r="G1279" s="3">
        <v>3450</v>
      </c>
      <c r="H1279" s="3">
        <v>0.11</v>
      </c>
      <c r="I1279" s="3">
        <v>379.5</v>
      </c>
      <c r="J1279" s="3" t="s">
        <v>39</v>
      </c>
    </row>
    <row r="1280" spans="1:10" x14ac:dyDescent="0.35">
      <c r="A1280" s="3" t="s">
        <v>1310</v>
      </c>
      <c r="B1280" s="4">
        <v>43311</v>
      </c>
      <c r="C1280" s="3" t="s">
        <v>11</v>
      </c>
      <c r="D1280" s="3" t="s">
        <v>12</v>
      </c>
      <c r="E1280" s="3">
        <v>16</v>
      </c>
      <c r="F1280" s="3">
        <v>80</v>
      </c>
      <c r="G1280" s="3">
        <v>1280</v>
      </c>
      <c r="H1280" s="3">
        <v>0.03</v>
      </c>
      <c r="I1280" s="3">
        <v>38.4</v>
      </c>
      <c r="J1280" s="3" t="s">
        <v>41</v>
      </c>
    </row>
    <row r="1281" spans="1:10" x14ac:dyDescent="0.35">
      <c r="A1281" s="3" t="s">
        <v>1311</v>
      </c>
      <c r="B1281" s="4">
        <v>43311</v>
      </c>
      <c r="C1281" s="3" t="s">
        <v>34</v>
      </c>
      <c r="D1281" s="3" t="s">
        <v>31</v>
      </c>
      <c r="E1281" s="3">
        <v>15</v>
      </c>
      <c r="F1281" s="3">
        <v>150</v>
      </c>
      <c r="G1281" s="3">
        <v>2250</v>
      </c>
      <c r="H1281" s="3">
        <v>7.0000000000000007E-2</v>
      </c>
      <c r="I1281" s="3">
        <v>157.50000000000003</v>
      </c>
      <c r="J1281" s="3" t="s">
        <v>43</v>
      </c>
    </row>
    <row r="1282" spans="1:10" x14ac:dyDescent="0.35">
      <c r="A1282" s="3" t="s">
        <v>1312</v>
      </c>
      <c r="B1282" s="4">
        <v>43311</v>
      </c>
      <c r="C1282" s="3" t="s">
        <v>15</v>
      </c>
      <c r="D1282" s="3" t="s">
        <v>12</v>
      </c>
      <c r="E1282" s="3">
        <v>20</v>
      </c>
      <c r="F1282" s="3">
        <v>40</v>
      </c>
      <c r="G1282" s="3">
        <v>800</v>
      </c>
      <c r="H1282" s="3">
        <v>0.04</v>
      </c>
      <c r="I1282" s="3">
        <v>32</v>
      </c>
      <c r="J1282" s="3" t="s">
        <v>13</v>
      </c>
    </row>
    <row r="1283" spans="1:10" x14ac:dyDescent="0.35">
      <c r="A1283" s="3" t="s">
        <v>1313</v>
      </c>
      <c r="B1283" s="4">
        <v>43311</v>
      </c>
      <c r="C1283" s="3" t="s">
        <v>19</v>
      </c>
      <c r="D1283" s="3" t="s">
        <v>24</v>
      </c>
      <c r="E1283" s="3">
        <v>10</v>
      </c>
      <c r="F1283" s="3">
        <v>230</v>
      </c>
      <c r="G1283" s="3">
        <v>2300</v>
      </c>
      <c r="H1283" s="3">
        <v>0.02</v>
      </c>
      <c r="I1283" s="3">
        <v>46</v>
      </c>
      <c r="J1283" s="3" t="s">
        <v>17</v>
      </c>
    </row>
    <row r="1284" spans="1:10" x14ac:dyDescent="0.35">
      <c r="A1284" s="3" t="s">
        <v>1314</v>
      </c>
      <c r="B1284" s="4">
        <v>43311</v>
      </c>
      <c r="C1284" s="3" t="s">
        <v>11</v>
      </c>
      <c r="D1284" s="3" t="s">
        <v>16</v>
      </c>
      <c r="E1284" s="3">
        <v>9</v>
      </c>
      <c r="F1284" s="3">
        <v>80</v>
      </c>
      <c r="G1284" s="3">
        <v>720</v>
      </c>
      <c r="H1284" s="3">
        <v>0.03</v>
      </c>
      <c r="I1284" s="3">
        <v>21.599999999999998</v>
      </c>
      <c r="J1284" s="3" t="s">
        <v>20</v>
      </c>
    </row>
    <row r="1285" spans="1:10" x14ac:dyDescent="0.35">
      <c r="A1285" s="3" t="s">
        <v>1315</v>
      </c>
      <c r="B1285" s="4">
        <v>43311</v>
      </c>
      <c r="C1285" s="3" t="s">
        <v>19</v>
      </c>
      <c r="D1285" s="3" t="s">
        <v>12</v>
      </c>
      <c r="E1285" s="3">
        <v>16</v>
      </c>
      <c r="F1285" s="3">
        <v>230</v>
      </c>
      <c r="G1285" s="3">
        <v>3680</v>
      </c>
      <c r="H1285" s="3">
        <v>7.0000000000000007E-2</v>
      </c>
      <c r="I1285" s="3">
        <v>257.60000000000002</v>
      </c>
      <c r="J1285" s="3" t="s">
        <v>22</v>
      </c>
    </row>
    <row r="1286" spans="1:10" x14ac:dyDescent="0.35">
      <c r="A1286" s="3" t="s">
        <v>1316</v>
      </c>
      <c r="B1286" s="4">
        <v>43311</v>
      </c>
      <c r="C1286" s="3" t="s">
        <v>11</v>
      </c>
      <c r="D1286" s="3" t="s">
        <v>16</v>
      </c>
      <c r="E1286" s="3">
        <v>21</v>
      </c>
      <c r="F1286" s="3">
        <v>80</v>
      </c>
      <c r="G1286" s="3">
        <v>1680</v>
      </c>
      <c r="H1286" s="3">
        <v>0.04</v>
      </c>
      <c r="I1286" s="3">
        <v>67.2</v>
      </c>
      <c r="J1286" s="3" t="s">
        <v>25</v>
      </c>
    </row>
    <row r="1287" spans="1:10" x14ac:dyDescent="0.35">
      <c r="A1287" s="3" t="s">
        <v>1317</v>
      </c>
      <c r="B1287" s="4">
        <v>43311</v>
      </c>
      <c r="C1287" s="3" t="s">
        <v>11</v>
      </c>
      <c r="D1287" s="3" t="s">
        <v>16</v>
      </c>
      <c r="E1287" s="3">
        <v>9</v>
      </c>
      <c r="F1287" s="3">
        <v>80</v>
      </c>
      <c r="G1287" s="3">
        <v>720</v>
      </c>
      <c r="H1287" s="3">
        <v>0.03</v>
      </c>
      <c r="I1287" s="3">
        <v>21.599999999999998</v>
      </c>
      <c r="J1287" s="3" t="s">
        <v>28</v>
      </c>
    </row>
    <row r="1288" spans="1:10" x14ac:dyDescent="0.35">
      <c r="A1288" s="3" t="s">
        <v>1318</v>
      </c>
      <c r="B1288" s="4">
        <v>43311</v>
      </c>
      <c r="C1288" s="3" t="s">
        <v>15</v>
      </c>
      <c r="D1288" s="3" t="s">
        <v>16</v>
      </c>
      <c r="E1288" s="3">
        <v>4</v>
      </c>
      <c r="F1288" s="3">
        <v>40</v>
      </c>
      <c r="G1288" s="3">
        <v>160</v>
      </c>
      <c r="H1288" s="3">
        <v>0.12</v>
      </c>
      <c r="I1288" s="3">
        <v>19.2</v>
      </c>
      <c r="J1288" s="3" t="s">
        <v>17</v>
      </c>
    </row>
    <row r="1289" spans="1:10" x14ac:dyDescent="0.35">
      <c r="A1289" s="3" t="s">
        <v>1319</v>
      </c>
      <c r="B1289" s="4">
        <v>43311</v>
      </c>
      <c r="C1289" s="3" t="s">
        <v>19</v>
      </c>
      <c r="D1289" s="3" t="s">
        <v>24</v>
      </c>
      <c r="E1289" s="3">
        <v>5</v>
      </c>
      <c r="F1289" s="3">
        <v>230</v>
      </c>
      <c r="G1289" s="3">
        <v>1150</v>
      </c>
      <c r="H1289" s="3">
        <v>0.01</v>
      </c>
      <c r="I1289" s="3">
        <v>11.5</v>
      </c>
      <c r="J1289" s="3" t="s">
        <v>20</v>
      </c>
    </row>
    <row r="1290" spans="1:10" x14ac:dyDescent="0.35">
      <c r="A1290" s="3" t="s">
        <v>1320</v>
      </c>
      <c r="B1290" s="4">
        <v>43311</v>
      </c>
      <c r="C1290" s="3" t="s">
        <v>30</v>
      </c>
      <c r="D1290" s="3" t="s">
        <v>12</v>
      </c>
      <c r="E1290" s="3">
        <v>18</v>
      </c>
      <c r="F1290" s="3">
        <v>16</v>
      </c>
      <c r="G1290" s="3">
        <v>288</v>
      </c>
      <c r="H1290" s="3">
        <v>0.05</v>
      </c>
      <c r="I1290" s="3">
        <v>14.4</v>
      </c>
      <c r="J1290" s="3" t="s">
        <v>22</v>
      </c>
    </row>
    <row r="1291" spans="1:10" x14ac:dyDescent="0.35">
      <c r="A1291" s="3" t="s">
        <v>1321</v>
      </c>
      <c r="B1291" s="4">
        <v>43312</v>
      </c>
      <c r="C1291" s="3" t="s">
        <v>11</v>
      </c>
      <c r="D1291" s="3" t="s">
        <v>24</v>
      </c>
      <c r="E1291" s="3">
        <v>6</v>
      </c>
      <c r="F1291" s="3">
        <v>80</v>
      </c>
      <c r="G1291" s="3">
        <v>480</v>
      </c>
      <c r="H1291" s="3">
        <v>0.01</v>
      </c>
      <c r="I1291" s="3">
        <v>4.8</v>
      </c>
      <c r="J1291" s="3" t="s">
        <v>25</v>
      </c>
    </row>
    <row r="1292" spans="1:10" x14ac:dyDescent="0.35">
      <c r="A1292" s="3" t="s">
        <v>1322</v>
      </c>
      <c r="B1292" s="4">
        <v>43312</v>
      </c>
      <c r="C1292" s="3" t="s">
        <v>34</v>
      </c>
      <c r="D1292" s="3" t="s">
        <v>31</v>
      </c>
      <c r="E1292" s="3">
        <v>4</v>
      </c>
      <c r="F1292" s="3">
        <v>150</v>
      </c>
      <c r="G1292" s="3">
        <v>600</v>
      </c>
      <c r="H1292" s="3">
        <v>0.05</v>
      </c>
      <c r="I1292" s="3">
        <v>30</v>
      </c>
      <c r="J1292" s="3" t="s">
        <v>28</v>
      </c>
    </row>
    <row r="1293" spans="1:10" x14ac:dyDescent="0.35">
      <c r="A1293" s="3" t="s">
        <v>1323</v>
      </c>
      <c r="B1293" s="4">
        <v>43312</v>
      </c>
      <c r="C1293" s="3" t="s">
        <v>19</v>
      </c>
      <c r="D1293" s="3" t="s">
        <v>31</v>
      </c>
      <c r="E1293" s="3">
        <v>21</v>
      </c>
      <c r="F1293" s="3">
        <v>230</v>
      </c>
      <c r="G1293" s="3">
        <v>4830</v>
      </c>
      <c r="H1293" s="3">
        <v>0.05</v>
      </c>
      <c r="I1293" s="3">
        <v>241.5</v>
      </c>
      <c r="J1293" s="3" t="s">
        <v>32</v>
      </c>
    </row>
    <row r="1294" spans="1:10" x14ac:dyDescent="0.35">
      <c r="A1294" s="3" t="s">
        <v>1324</v>
      </c>
      <c r="B1294" s="4">
        <v>43312</v>
      </c>
      <c r="C1294" s="3" t="s">
        <v>34</v>
      </c>
      <c r="D1294" s="3" t="s">
        <v>12</v>
      </c>
      <c r="E1294" s="3">
        <v>4</v>
      </c>
      <c r="F1294" s="3">
        <v>150</v>
      </c>
      <c r="G1294" s="3">
        <v>600</v>
      </c>
      <c r="H1294" s="3">
        <v>0.06</v>
      </c>
      <c r="I1294" s="3">
        <v>36</v>
      </c>
      <c r="J1294" s="3" t="s">
        <v>35</v>
      </c>
    </row>
    <row r="1295" spans="1:10" x14ac:dyDescent="0.35">
      <c r="A1295" s="3" t="s">
        <v>1325</v>
      </c>
      <c r="B1295" s="4">
        <v>43312</v>
      </c>
      <c r="C1295" s="3" t="s">
        <v>11</v>
      </c>
      <c r="D1295" s="3" t="s">
        <v>16</v>
      </c>
      <c r="E1295" s="3">
        <v>2</v>
      </c>
      <c r="F1295" s="3">
        <v>80</v>
      </c>
      <c r="G1295" s="3">
        <v>160</v>
      </c>
      <c r="H1295" s="3">
        <v>0.04</v>
      </c>
      <c r="I1295" s="3">
        <v>6.4</v>
      </c>
      <c r="J1295" s="3" t="s">
        <v>37</v>
      </c>
    </row>
    <row r="1296" spans="1:10" x14ac:dyDescent="0.35">
      <c r="A1296" s="3" t="s">
        <v>1326</v>
      </c>
      <c r="B1296" s="4">
        <v>43312</v>
      </c>
      <c r="C1296" s="3" t="s">
        <v>30</v>
      </c>
      <c r="D1296" s="3" t="s">
        <v>16</v>
      </c>
      <c r="E1296" s="3">
        <v>5</v>
      </c>
      <c r="F1296" s="3">
        <v>16</v>
      </c>
      <c r="G1296" s="3">
        <v>80</v>
      </c>
      <c r="H1296" s="3">
        <v>0.11</v>
      </c>
      <c r="I1296" s="3">
        <v>8.8000000000000007</v>
      </c>
      <c r="J1296" s="3" t="s">
        <v>39</v>
      </c>
    </row>
    <row r="1297" spans="1:10" x14ac:dyDescent="0.35">
      <c r="A1297" s="3" t="s">
        <v>1327</v>
      </c>
      <c r="B1297" s="4">
        <v>43312</v>
      </c>
      <c r="C1297" s="3" t="s">
        <v>34</v>
      </c>
      <c r="D1297" s="3" t="s">
        <v>31</v>
      </c>
      <c r="E1297" s="3">
        <v>23</v>
      </c>
      <c r="F1297" s="3">
        <v>150</v>
      </c>
      <c r="G1297" s="3">
        <v>3450</v>
      </c>
      <c r="H1297" s="3">
        <v>0.08</v>
      </c>
      <c r="I1297" s="3">
        <v>276</v>
      </c>
      <c r="J1297" s="3" t="s">
        <v>41</v>
      </c>
    </row>
    <row r="1298" spans="1:10" x14ac:dyDescent="0.35">
      <c r="A1298" s="3" t="s">
        <v>1328</v>
      </c>
      <c r="B1298" s="4">
        <v>43312</v>
      </c>
      <c r="C1298" s="3" t="s">
        <v>11</v>
      </c>
      <c r="D1298" s="3" t="s">
        <v>16</v>
      </c>
      <c r="E1298" s="3">
        <v>3</v>
      </c>
      <c r="F1298" s="3">
        <v>80</v>
      </c>
      <c r="G1298" s="3">
        <v>240</v>
      </c>
      <c r="H1298" s="3">
        <v>0.02</v>
      </c>
      <c r="I1298" s="3">
        <v>4.8</v>
      </c>
      <c r="J1298" s="3" t="s">
        <v>43</v>
      </c>
    </row>
    <row r="1299" spans="1:10" x14ac:dyDescent="0.35">
      <c r="A1299" s="3" t="s">
        <v>1329</v>
      </c>
      <c r="B1299" s="4">
        <v>43312</v>
      </c>
      <c r="C1299" s="3" t="s">
        <v>19</v>
      </c>
      <c r="D1299" s="3" t="s">
        <v>31</v>
      </c>
      <c r="E1299" s="3">
        <v>17</v>
      </c>
      <c r="F1299" s="3">
        <v>230</v>
      </c>
      <c r="G1299" s="3">
        <v>3910</v>
      </c>
      <c r="H1299" s="3">
        <v>0.11</v>
      </c>
      <c r="I1299" s="3">
        <v>430.1</v>
      </c>
      <c r="J1299" s="3" t="s">
        <v>13</v>
      </c>
    </row>
    <row r="1300" spans="1:10" x14ac:dyDescent="0.35">
      <c r="A1300" s="3" t="s">
        <v>1330</v>
      </c>
      <c r="B1300" s="4">
        <v>43312</v>
      </c>
      <c r="C1300" s="3" t="s">
        <v>15</v>
      </c>
      <c r="D1300" s="3" t="s">
        <v>24</v>
      </c>
      <c r="E1300" s="3">
        <v>11</v>
      </c>
      <c r="F1300" s="3">
        <v>40</v>
      </c>
      <c r="G1300" s="3">
        <v>440</v>
      </c>
      <c r="H1300" s="3">
        <v>0.05</v>
      </c>
      <c r="I1300" s="3">
        <v>22</v>
      </c>
      <c r="J1300" s="3" t="s">
        <v>17</v>
      </c>
    </row>
    <row r="1301" spans="1:10" x14ac:dyDescent="0.35">
      <c r="A1301" s="3" t="s">
        <v>1331</v>
      </c>
      <c r="B1301" s="4">
        <v>43312</v>
      </c>
      <c r="C1301" s="3" t="s">
        <v>15</v>
      </c>
      <c r="D1301" s="3" t="s">
        <v>24</v>
      </c>
      <c r="E1301" s="3">
        <v>13</v>
      </c>
      <c r="F1301" s="3">
        <v>40</v>
      </c>
      <c r="G1301" s="3">
        <v>520</v>
      </c>
      <c r="H1301" s="3">
        <v>0.02</v>
      </c>
      <c r="I1301" s="3">
        <v>10.4</v>
      </c>
      <c r="J1301" s="3" t="s">
        <v>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7EB6C-0478-41F2-BF79-EE1CA8F87785}">
  <dimension ref="B2:B19"/>
  <sheetViews>
    <sheetView topLeftCell="A7" workbookViewId="0">
      <selection activeCell="B10" sqref="B10"/>
    </sheetView>
  </sheetViews>
  <sheetFormatPr defaultRowHeight="14.5" x14ac:dyDescent="0.35"/>
  <cols>
    <col min="2" max="2" width="21.7265625" bestFit="1" customWidth="1"/>
  </cols>
  <sheetData>
    <row r="2" spans="2:2" x14ac:dyDescent="0.35">
      <c r="B2" t="s">
        <v>1335</v>
      </c>
    </row>
    <row r="4" spans="2:2" x14ac:dyDescent="0.35">
      <c r="B4" t="s">
        <v>1336</v>
      </c>
    </row>
    <row r="5" spans="2:2" x14ac:dyDescent="0.35">
      <c r="B5" s="7">
        <v>1300</v>
      </c>
    </row>
    <row r="7" spans="2:2" x14ac:dyDescent="0.35">
      <c r="B7" t="s">
        <v>1337</v>
      </c>
    </row>
    <row r="9" spans="2:2" x14ac:dyDescent="0.35">
      <c r="B9" t="s">
        <v>1334</v>
      </c>
    </row>
    <row r="10" spans="2:2" x14ac:dyDescent="0.35">
      <c r="B10" s="7">
        <v>1585146</v>
      </c>
    </row>
    <row r="12" spans="2:2" x14ac:dyDescent="0.35">
      <c r="B12" t="s">
        <v>1338</v>
      </c>
    </row>
    <row r="14" spans="2:2" x14ac:dyDescent="0.35">
      <c r="B14" t="s">
        <v>1339</v>
      </c>
    </row>
    <row r="15" spans="2:2" x14ac:dyDescent="0.35">
      <c r="B15" s="7">
        <v>100160.23999999989</v>
      </c>
    </row>
    <row r="17" spans="2:2" x14ac:dyDescent="0.35">
      <c r="B17" t="s">
        <v>1340</v>
      </c>
    </row>
    <row r="19" spans="2:2" x14ac:dyDescent="0.35">
      <c r="B19">
        <f>GETPIVOTDATA("total sales",$B$9)-GETPIVOTDATA("total commission",$B$14)</f>
        <v>1484985.76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C5BAB-F3B8-4143-83D9-D135B7C55AC8}">
  <dimension ref="A2:G122"/>
  <sheetViews>
    <sheetView topLeftCell="A15" workbookViewId="0">
      <selection activeCell="Z8" sqref="Z8"/>
    </sheetView>
  </sheetViews>
  <sheetFormatPr defaultRowHeight="14.5" x14ac:dyDescent="0.35"/>
  <cols>
    <col min="1" max="1" width="12.453125" bestFit="1" customWidth="1"/>
    <col min="2" max="2" width="15.1796875" bestFit="1" customWidth="1"/>
    <col min="3" max="3" width="10.81640625" bestFit="1" customWidth="1"/>
    <col min="4" max="4" width="6.81640625" bestFit="1" customWidth="1"/>
    <col min="5" max="5" width="8.36328125" bestFit="1" customWidth="1"/>
    <col min="6" max="6" width="10.90625" bestFit="1" customWidth="1"/>
    <col min="7" max="7" width="10.36328125" bestFit="1" customWidth="1"/>
  </cols>
  <sheetData>
    <row r="2" spans="1:2" ht="18.5" x14ac:dyDescent="0.45">
      <c r="A2" s="5" t="s">
        <v>1341</v>
      </c>
    </row>
    <row r="4" spans="1:2" x14ac:dyDescent="0.35">
      <c r="A4" t="s">
        <v>1342</v>
      </c>
    </row>
    <row r="6" spans="1:2" x14ac:dyDescent="0.35">
      <c r="A6" s="1" t="s">
        <v>1332</v>
      </c>
      <c r="B6" t="s">
        <v>1343</v>
      </c>
    </row>
    <row r="7" spans="1:2" x14ac:dyDescent="0.35">
      <c r="A7" s="2" t="s">
        <v>30</v>
      </c>
      <c r="B7" s="7">
        <v>3071</v>
      </c>
    </row>
    <row r="8" spans="1:2" x14ac:dyDescent="0.35">
      <c r="A8" s="2" t="s">
        <v>19</v>
      </c>
      <c r="B8" s="7">
        <v>2648</v>
      </c>
    </row>
    <row r="9" spans="1:2" x14ac:dyDescent="0.35">
      <c r="A9" s="2" t="s">
        <v>11</v>
      </c>
      <c r="B9" s="7">
        <v>3823</v>
      </c>
    </row>
    <row r="10" spans="1:2" x14ac:dyDescent="0.35">
      <c r="A10" s="2" t="s">
        <v>34</v>
      </c>
      <c r="B10" s="7">
        <v>3067</v>
      </c>
    </row>
    <row r="11" spans="1:2" x14ac:dyDescent="0.35">
      <c r="A11" s="2" t="s">
        <v>15</v>
      </c>
      <c r="B11" s="7">
        <v>4027</v>
      </c>
    </row>
    <row r="12" spans="1:2" x14ac:dyDescent="0.35">
      <c r="A12" s="2" t="s">
        <v>1333</v>
      </c>
      <c r="B12" s="7">
        <v>16636</v>
      </c>
    </row>
    <row r="17" spans="1:2" x14ac:dyDescent="0.35">
      <c r="A17" t="s">
        <v>1344</v>
      </c>
    </row>
    <row r="19" spans="1:2" x14ac:dyDescent="0.35">
      <c r="A19" s="1" t="s">
        <v>1332</v>
      </c>
      <c r="B19" t="s">
        <v>1334</v>
      </c>
    </row>
    <row r="20" spans="1:2" x14ac:dyDescent="0.35">
      <c r="A20" s="2" t="s">
        <v>31</v>
      </c>
      <c r="B20" s="7">
        <v>306530</v>
      </c>
    </row>
    <row r="21" spans="1:2" x14ac:dyDescent="0.35">
      <c r="A21" s="2" t="s">
        <v>12</v>
      </c>
      <c r="B21" s="7">
        <v>320220</v>
      </c>
    </row>
    <row r="22" spans="1:2" x14ac:dyDescent="0.35">
      <c r="A22" s="2" t="s">
        <v>24</v>
      </c>
      <c r="B22" s="7">
        <v>307656</v>
      </c>
    </row>
    <row r="23" spans="1:2" x14ac:dyDescent="0.35">
      <c r="A23" s="2" t="s">
        <v>16</v>
      </c>
      <c r="B23" s="7">
        <v>321258</v>
      </c>
    </row>
    <row r="24" spans="1:2" x14ac:dyDescent="0.35">
      <c r="A24" s="2" t="s">
        <v>27</v>
      </c>
      <c r="B24" s="7">
        <v>329482</v>
      </c>
    </row>
    <row r="25" spans="1:2" x14ac:dyDescent="0.35">
      <c r="A25" s="2" t="s">
        <v>1333</v>
      </c>
      <c r="B25" s="7">
        <v>1585146</v>
      </c>
    </row>
    <row r="30" spans="1:2" x14ac:dyDescent="0.35">
      <c r="A30" t="s">
        <v>1345</v>
      </c>
    </row>
    <row r="32" spans="1:2" x14ac:dyDescent="0.35">
      <c r="A32" s="1" t="s">
        <v>1332</v>
      </c>
      <c r="B32" t="s">
        <v>1339</v>
      </c>
    </row>
    <row r="33" spans="1:5" x14ac:dyDescent="0.35">
      <c r="A33" s="2" t="s">
        <v>31</v>
      </c>
      <c r="B33" s="7">
        <v>23576.700000000012</v>
      </c>
    </row>
    <row r="34" spans="1:5" x14ac:dyDescent="0.35">
      <c r="A34" s="2" t="s">
        <v>12</v>
      </c>
      <c r="B34" s="7">
        <v>17874.340000000018</v>
      </c>
    </row>
    <row r="35" spans="1:5" x14ac:dyDescent="0.35">
      <c r="A35" s="2" t="s">
        <v>24</v>
      </c>
      <c r="B35" s="7">
        <v>17621.360000000004</v>
      </c>
    </row>
    <row r="36" spans="1:5" x14ac:dyDescent="0.35">
      <c r="A36" s="2" t="s">
        <v>16</v>
      </c>
      <c r="B36" s="7">
        <v>21012.360000000004</v>
      </c>
    </row>
    <row r="37" spans="1:5" x14ac:dyDescent="0.35">
      <c r="A37" s="2" t="s">
        <v>27</v>
      </c>
      <c r="B37" s="7">
        <v>20075.480000000003</v>
      </c>
    </row>
    <row r="38" spans="1:5" x14ac:dyDescent="0.35">
      <c r="A38" s="2" t="s">
        <v>1333</v>
      </c>
      <c r="B38" s="7">
        <v>100160.24000000005</v>
      </c>
    </row>
    <row r="43" spans="1:5" x14ac:dyDescent="0.35">
      <c r="A43" t="s">
        <v>1346</v>
      </c>
    </row>
    <row r="45" spans="1:5" x14ac:dyDescent="0.35">
      <c r="A45" s="1" t="s">
        <v>1332</v>
      </c>
      <c r="B45" t="s">
        <v>1336</v>
      </c>
      <c r="D45" t="str">
        <f>A46</f>
        <v>Bihar</v>
      </c>
      <c r="E45">
        <f t="shared" ref="E45:E56" si="0">B46</f>
        <v>104</v>
      </c>
    </row>
    <row r="46" spans="1:5" x14ac:dyDescent="0.35">
      <c r="A46" s="2" t="s">
        <v>28</v>
      </c>
      <c r="B46" s="7">
        <v>104</v>
      </c>
      <c r="D46" t="str">
        <f t="shared" ref="D46:D56" si="1">A47</f>
        <v>Delhi</v>
      </c>
      <c r="E46">
        <f t="shared" si="0"/>
        <v>105</v>
      </c>
    </row>
    <row r="47" spans="1:5" x14ac:dyDescent="0.35">
      <c r="A47" s="2" t="s">
        <v>22</v>
      </c>
      <c r="B47" s="7">
        <v>105</v>
      </c>
      <c r="D47" t="str">
        <f t="shared" si="1"/>
        <v>Goa</v>
      </c>
      <c r="E47">
        <f t="shared" si="0"/>
        <v>120</v>
      </c>
    </row>
    <row r="48" spans="1:5" x14ac:dyDescent="0.35">
      <c r="A48" s="2" t="s">
        <v>32</v>
      </c>
      <c r="B48" s="7">
        <v>120</v>
      </c>
      <c r="D48" t="str">
        <f t="shared" si="1"/>
        <v>Gujarat</v>
      </c>
      <c r="E48">
        <f t="shared" si="0"/>
        <v>163</v>
      </c>
    </row>
    <row r="49" spans="1:5" x14ac:dyDescent="0.35">
      <c r="A49" s="2" t="s">
        <v>37</v>
      </c>
      <c r="B49" s="7">
        <v>163</v>
      </c>
      <c r="D49" t="str">
        <f t="shared" si="1"/>
        <v>Haryana</v>
      </c>
      <c r="E49">
        <f t="shared" si="0"/>
        <v>68</v>
      </c>
    </row>
    <row r="50" spans="1:5" x14ac:dyDescent="0.35">
      <c r="A50" s="2" t="s">
        <v>41</v>
      </c>
      <c r="B50" s="7">
        <v>68</v>
      </c>
      <c r="D50" t="str">
        <f t="shared" si="1"/>
        <v>Jharkhand</v>
      </c>
      <c r="E50">
        <f t="shared" si="0"/>
        <v>119</v>
      </c>
    </row>
    <row r="51" spans="1:5" x14ac:dyDescent="0.35">
      <c r="A51" s="2" t="s">
        <v>39</v>
      </c>
      <c r="B51" s="7">
        <v>119</v>
      </c>
      <c r="D51" t="str">
        <f t="shared" si="1"/>
        <v>Karnataka</v>
      </c>
      <c r="E51">
        <f t="shared" si="0"/>
        <v>119</v>
      </c>
    </row>
    <row r="52" spans="1:5" x14ac:dyDescent="0.35">
      <c r="A52" s="2" t="s">
        <v>35</v>
      </c>
      <c r="B52" s="7">
        <v>119</v>
      </c>
      <c r="D52" t="str">
        <f t="shared" si="1"/>
        <v>Kerala</v>
      </c>
      <c r="E52">
        <f t="shared" si="0"/>
        <v>68</v>
      </c>
    </row>
    <row r="53" spans="1:5" x14ac:dyDescent="0.35">
      <c r="A53" s="2" t="s">
        <v>43</v>
      </c>
      <c r="B53" s="7">
        <v>68</v>
      </c>
      <c r="D53" t="str">
        <f t="shared" si="1"/>
        <v>Maharashtra</v>
      </c>
      <c r="E53">
        <f t="shared" si="0"/>
        <v>150</v>
      </c>
    </row>
    <row r="54" spans="1:5" x14ac:dyDescent="0.35">
      <c r="A54" s="2" t="s">
        <v>20</v>
      </c>
      <c r="B54" s="7">
        <v>150</v>
      </c>
      <c r="D54" t="str">
        <f t="shared" si="1"/>
        <v>Meghalaya</v>
      </c>
      <c r="E54">
        <f t="shared" si="0"/>
        <v>76</v>
      </c>
    </row>
    <row r="55" spans="1:5" x14ac:dyDescent="0.35">
      <c r="A55" s="2" t="s">
        <v>13</v>
      </c>
      <c r="B55" s="7">
        <v>76</v>
      </c>
      <c r="D55" t="str">
        <f t="shared" si="1"/>
        <v>Uttar Pradesh</v>
      </c>
      <c r="E55">
        <f t="shared" si="0"/>
        <v>105</v>
      </c>
    </row>
    <row r="56" spans="1:5" x14ac:dyDescent="0.35">
      <c r="A56" s="2" t="s">
        <v>17</v>
      </c>
      <c r="B56" s="7">
        <v>105</v>
      </c>
      <c r="D56" t="str">
        <f t="shared" si="1"/>
        <v>West Bengal</v>
      </c>
      <c r="E56">
        <f t="shared" si="0"/>
        <v>103</v>
      </c>
    </row>
    <row r="57" spans="1:5" x14ac:dyDescent="0.35">
      <c r="A57" s="2" t="s">
        <v>25</v>
      </c>
      <c r="B57" s="7">
        <v>103</v>
      </c>
    </row>
    <row r="58" spans="1:5" x14ac:dyDescent="0.35">
      <c r="A58" s="2" t="s">
        <v>1333</v>
      </c>
      <c r="B58" s="7">
        <v>1300</v>
      </c>
    </row>
    <row r="63" spans="1:5" x14ac:dyDescent="0.35">
      <c r="A63" t="s">
        <v>1347</v>
      </c>
    </row>
    <row r="65" spans="1:2" x14ac:dyDescent="0.35">
      <c r="A65" s="1" t="s">
        <v>1332</v>
      </c>
      <c r="B65" t="s">
        <v>1336</v>
      </c>
    </row>
    <row r="66" spans="1:2" x14ac:dyDescent="0.35">
      <c r="A66" s="6">
        <v>43282</v>
      </c>
      <c r="B66" s="7">
        <v>39</v>
      </c>
    </row>
    <row r="67" spans="1:2" x14ac:dyDescent="0.35">
      <c r="A67" s="6">
        <v>43283</v>
      </c>
      <c r="B67" s="7">
        <v>33</v>
      </c>
    </row>
    <row r="68" spans="1:2" x14ac:dyDescent="0.35">
      <c r="A68" s="6">
        <v>43284</v>
      </c>
      <c r="B68" s="7">
        <v>36</v>
      </c>
    </row>
    <row r="69" spans="1:2" x14ac:dyDescent="0.35">
      <c r="A69" s="6">
        <v>43285</v>
      </c>
      <c r="B69" s="7">
        <v>35</v>
      </c>
    </row>
    <row r="70" spans="1:2" x14ac:dyDescent="0.35">
      <c r="A70" s="6">
        <v>43286</v>
      </c>
      <c r="B70" s="7">
        <v>42</v>
      </c>
    </row>
    <row r="71" spans="1:2" x14ac:dyDescent="0.35">
      <c r="A71" s="6">
        <v>43287</v>
      </c>
      <c r="B71" s="7">
        <v>47</v>
      </c>
    </row>
    <row r="72" spans="1:2" x14ac:dyDescent="0.35">
      <c r="A72" s="6">
        <v>43288</v>
      </c>
      <c r="B72" s="7">
        <v>53</v>
      </c>
    </row>
    <row r="73" spans="1:2" x14ac:dyDescent="0.35">
      <c r="A73" s="6">
        <v>43289</v>
      </c>
      <c r="B73" s="7">
        <v>50</v>
      </c>
    </row>
    <row r="74" spans="1:2" x14ac:dyDescent="0.35">
      <c r="A74" s="6">
        <v>43290</v>
      </c>
      <c r="B74" s="7">
        <v>38</v>
      </c>
    </row>
    <row r="75" spans="1:2" x14ac:dyDescent="0.35">
      <c r="A75" s="6">
        <v>43291</v>
      </c>
      <c r="B75" s="7">
        <v>50</v>
      </c>
    </row>
    <row r="76" spans="1:2" x14ac:dyDescent="0.35">
      <c r="A76" s="6">
        <v>43292</v>
      </c>
      <c r="B76" s="7">
        <v>43</v>
      </c>
    </row>
    <row r="77" spans="1:2" x14ac:dyDescent="0.35">
      <c r="A77" s="6">
        <v>43293</v>
      </c>
      <c r="B77" s="7">
        <v>30</v>
      </c>
    </row>
    <row r="78" spans="1:2" x14ac:dyDescent="0.35">
      <c r="A78" s="6">
        <v>43294</v>
      </c>
      <c r="B78" s="7">
        <v>48</v>
      </c>
    </row>
    <row r="79" spans="1:2" x14ac:dyDescent="0.35">
      <c r="A79" s="6">
        <v>43295</v>
      </c>
      <c r="B79" s="7">
        <v>46</v>
      </c>
    </row>
    <row r="80" spans="1:2" x14ac:dyDescent="0.35">
      <c r="A80" s="6">
        <v>43296</v>
      </c>
      <c r="B80" s="7">
        <v>45</v>
      </c>
    </row>
    <row r="81" spans="1:2" x14ac:dyDescent="0.35">
      <c r="A81" s="6">
        <v>43297</v>
      </c>
      <c r="B81" s="7">
        <v>48</v>
      </c>
    </row>
    <row r="82" spans="1:2" x14ac:dyDescent="0.35">
      <c r="A82" s="6">
        <v>43298</v>
      </c>
      <c r="B82" s="7">
        <v>48</v>
      </c>
    </row>
    <row r="83" spans="1:2" x14ac:dyDescent="0.35">
      <c r="A83" s="6">
        <v>43299</v>
      </c>
      <c r="B83" s="7">
        <v>41</v>
      </c>
    </row>
    <row r="84" spans="1:2" x14ac:dyDescent="0.35">
      <c r="A84" s="6">
        <v>43300</v>
      </c>
      <c r="B84" s="7">
        <v>44</v>
      </c>
    </row>
    <row r="85" spans="1:2" x14ac:dyDescent="0.35">
      <c r="A85" s="6">
        <v>43301</v>
      </c>
      <c r="B85" s="7">
        <v>34</v>
      </c>
    </row>
    <row r="86" spans="1:2" x14ac:dyDescent="0.35">
      <c r="A86" s="6">
        <v>43302</v>
      </c>
      <c r="B86" s="7">
        <v>47</v>
      </c>
    </row>
    <row r="87" spans="1:2" x14ac:dyDescent="0.35">
      <c r="A87" s="6">
        <v>43303</v>
      </c>
      <c r="B87" s="7">
        <v>38</v>
      </c>
    </row>
    <row r="88" spans="1:2" x14ac:dyDescent="0.35">
      <c r="A88" s="6">
        <v>43304</v>
      </c>
      <c r="B88" s="7">
        <v>39</v>
      </c>
    </row>
    <row r="89" spans="1:2" x14ac:dyDescent="0.35">
      <c r="A89" s="6">
        <v>43305</v>
      </c>
      <c r="B89" s="7">
        <v>46</v>
      </c>
    </row>
    <row r="90" spans="1:2" x14ac:dyDescent="0.35">
      <c r="A90" s="6">
        <v>43306</v>
      </c>
      <c r="B90" s="7">
        <v>49</v>
      </c>
    </row>
    <row r="91" spans="1:2" x14ac:dyDescent="0.35">
      <c r="A91" s="6">
        <v>43307</v>
      </c>
      <c r="B91" s="7">
        <v>47</v>
      </c>
    </row>
    <row r="92" spans="1:2" x14ac:dyDescent="0.35">
      <c r="A92" s="6">
        <v>43308</v>
      </c>
      <c r="B92" s="7">
        <v>52</v>
      </c>
    </row>
    <row r="93" spans="1:2" x14ac:dyDescent="0.35">
      <c r="A93" s="6">
        <v>43309</v>
      </c>
      <c r="B93" s="7">
        <v>37</v>
      </c>
    </row>
    <row r="94" spans="1:2" x14ac:dyDescent="0.35">
      <c r="A94" s="6">
        <v>43310</v>
      </c>
      <c r="B94" s="7">
        <v>42</v>
      </c>
    </row>
    <row r="95" spans="1:2" x14ac:dyDescent="0.35">
      <c r="A95" s="6">
        <v>43311</v>
      </c>
      <c r="B95" s="7">
        <v>28</v>
      </c>
    </row>
    <row r="96" spans="1:2" x14ac:dyDescent="0.35">
      <c r="A96" s="6">
        <v>43312</v>
      </c>
      <c r="B96" s="7">
        <v>25</v>
      </c>
    </row>
    <row r="97" spans="1:2" x14ac:dyDescent="0.35">
      <c r="A97" s="6" t="s">
        <v>1333</v>
      </c>
      <c r="B97" s="7">
        <v>1300</v>
      </c>
    </row>
    <row r="102" spans="1:2" x14ac:dyDescent="0.35">
      <c r="A102" s="1" t="s">
        <v>2</v>
      </c>
      <c r="B102" t="s">
        <v>1348</v>
      </c>
    </row>
    <row r="104" spans="1:2" x14ac:dyDescent="0.35">
      <c r="A104" s="1" t="s">
        <v>1332</v>
      </c>
      <c r="B104" t="s">
        <v>1334</v>
      </c>
    </row>
    <row r="105" spans="1:2" x14ac:dyDescent="0.35">
      <c r="A105" s="2" t="s">
        <v>31</v>
      </c>
      <c r="B105" s="7">
        <v>306530</v>
      </c>
    </row>
    <row r="106" spans="1:2" x14ac:dyDescent="0.35">
      <c r="A106" s="2" t="s">
        <v>12</v>
      </c>
      <c r="B106" s="7">
        <v>320220</v>
      </c>
    </row>
    <row r="107" spans="1:2" x14ac:dyDescent="0.35">
      <c r="A107" s="2" t="s">
        <v>24</v>
      </c>
      <c r="B107" s="7">
        <v>307656</v>
      </c>
    </row>
    <row r="108" spans="1:2" x14ac:dyDescent="0.35">
      <c r="A108" s="2" t="s">
        <v>16</v>
      </c>
      <c r="B108" s="7">
        <v>321258</v>
      </c>
    </row>
    <row r="109" spans="1:2" x14ac:dyDescent="0.35">
      <c r="A109" s="2" t="s">
        <v>27</v>
      </c>
      <c r="B109" s="7">
        <v>329482</v>
      </c>
    </row>
    <row r="110" spans="1:2" x14ac:dyDescent="0.35">
      <c r="A110" s="2" t="s">
        <v>1333</v>
      </c>
      <c r="B110" s="7">
        <v>1585146</v>
      </c>
    </row>
    <row r="115" spans="1:7" x14ac:dyDescent="0.35">
      <c r="A115" s="1" t="s">
        <v>1334</v>
      </c>
      <c r="B115" s="1" t="s">
        <v>1349</v>
      </c>
    </row>
    <row r="116" spans="1:7" x14ac:dyDescent="0.35">
      <c r="A116" s="1" t="s">
        <v>1332</v>
      </c>
      <c r="B116" t="s">
        <v>30</v>
      </c>
      <c r="C116" t="s">
        <v>19</v>
      </c>
      <c r="D116" t="s">
        <v>11</v>
      </c>
      <c r="E116" t="s">
        <v>34</v>
      </c>
      <c r="F116" t="s">
        <v>15</v>
      </c>
      <c r="G116" t="s">
        <v>1333</v>
      </c>
    </row>
    <row r="117" spans="1:7" x14ac:dyDescent="0.35">
      <c r="A117" s="2" t="s">
        <v>31</v>
      </c>
      <c r="B117" s="7">
        <v>10560</v>
      </c>
      <c r="C117" s="7">
        <v>117990</v>
      </c>
      <c r="D117" s="7">
        <v>65040</v>
      </c>
      <c r="E117" s="7">
        <v>66300</v>
      </c>
      <c r="F117" s="7">
        <v>46640</v>
      </c>
      <c r="G117" s="7">
        <v>306530</v>
      </c>
    </row>
    <row r="118" spans="1:7" x14ac:dyDescent="0.35">
      <c r="A118" s="2" t="s">
        <v>12</v>
      </c>
      <c r="B118" s="7">
        <v>13920</v>
      </c>
      <c r="C118" s="7">
        <v>91080</v>
      </c>
      <c r="D118" s="7">
        <v>59360</v>
      </c>
      <c r="E118" s="7">
        <v>125700</v>
      </c>
      <c r="F118" s="7">
        <v>30160</v>
      </c>
      <c r="G118" s="7">
        <v>320220</v>
      </c>
    </row>
    <row r="119" spans="1:7" x14ac:dyDescent="0.35">
      <c r="A119" s="2" t="s">
        <v>24</v>
      </c>
      <c r="B119" s="7">
        <v>9936</v>
      </c>
      <c r="C119" s="7">
        <v>138690</v>
      </c>
      <c r="D119" s="7">
        <v>45680</v>
      </c>
      <c r="E119" s="7">
        <v>93150</v>
      </c>
      <c r="F119" s="7">
        <v>20200</v>
      </c>
      <c r="G119" s="7">
        <v>307656</v>
      </c>
    </row>
    <row r="120" spans="1:7" x14ac:dyDescent="0.35">
      <c r="A120" s="2" t="s">
        <v>16</v>
      </c>
      <c r="B120" s="7">
        <v>7248</v>
      </c>
      <c r="C120" s="7">
        <v>126270</v>
      </c>
      <c r="D120" s="7">
        <v>51920</v>
      </c>
      <c r="E120" s="7">
        <v>109500</v>
      </c>
      <c r="F120" s="7">
        <v>26320</v>
      </c>
      <c r="G120" s="7">
        <v>321258</v>
      </c>
    </row>
    <row r="121" spans="1:7" x14ac:dyDescent="0.35">
      <c r="A121" s="2" t="s">
        <v>27</v>
      </c>
      <c r="B121" s="7">
        <v>7472</v>
      </c>
      <c r="C121" s="7">
        <v>135010</v>
      </c>
      <c r="D121" s="7">
        <v>83840</v>
      </c>
      <c r="E121" s="7">
        <v>65400</v>
      </c>
      <c r="F121" s="7">
        <v>37760</v>
      </c>
      <c r="G121" s="7">
        <v>329482</v>
      </c>
    </row>
    <row r="122" spans="1:7" x14ac:dyDescent="0.35">
      <c r="A122" s="2" t="s">
        <v>1333</v>
      </c>
      <c r="B122" s="7">
        <v>49136</v>
      </c>
      <c r="C122" s="7">
        <v>609040</v>
      </c>
      <c r="D122" s="7">
        <v>305840</v>
      </c>
      <c r="E122" s="7">
        <v>460050</v>
      </c>
      <c r="F122" s="7">
        <v>161080</v>
      </c>
      <c r="G122" s="7">
        <v>1585146</v>
      </c>
    </row>
  </sheetData>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B4748-8BC2-4267-AA14-4B2B6DDDC159}">
  <dimension ref="A1"/>
  <sheetViews>
    <sheetView tabSelected="1" zoomScale="71" zoomScaleNormal="71" workbookViewId="0">
      <selection activeCell="Z8" sqref="Z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E597587-F5D9-40C8-B050-4D5945915D3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Excel Project 1</vt:lpstr>
      <vt:lpstr>KPI</vt:lpstr>
      <vt:lpstr>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sagar nilange</dc:creator>
  <cp:lastModifiedBy>sagar nilange</cp:lastModifiedBy>
  <dcterms:created xsi:type="dcterms:W3CDTF">2025-12-31T04:59:09Z</dcterms:created>
  <dcterms:modified xsi:type="dcterms:W3CDTF">2026-01-13T20:50:00Z</dcterms:modified>
</cp:coreProperties>
</file>